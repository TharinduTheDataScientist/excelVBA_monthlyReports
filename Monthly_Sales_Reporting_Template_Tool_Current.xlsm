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mc:AlternateContent xmlns:mc="http://schemas.openxmlformats.org/markup-compatibility/2006">
    <mc:Choice Requires="x15">
      <x15ac:absPath xmlns:x15ac="http://schemas.microsoft.com/office/spreadsheetml/2010/11/ac" url="C:\Users\TD\Documents\Udemy\Excel VBA\ALL-VBA-Section-Milestone-Files-In-One-Place\CompletedMilestones\SalesReporting\"/>
    </mc:Choice>
  </mc:AlternateContent>
  <xr:revisionPtr revIDLastSave="0" documentId="13_ncr:1_{82622E1F-801F-427C-B758-00DC4613E309}" xr6:coauthVersionLast="47" xr6:coauthVersionMax="47" xr10:uidLastSave="{00000000-0000-0000-0000-000000000000}"/>
  <bookViews>
    <workbookView xWindow="585" yWindow="1785" windowWidth="21420" windowHeight="16560" xr2:uid="{00000000-000D-0000-FFFF-FFFF00000000}"/>
  </bookViews>
  <sheets>
    <sheet name="Main Menu" sheetId="6" r:id="rId1"/>
    <sheet name="Summary" sheetId="3" state="veryHidden" r:id="rId2"/>
    <sheet name="RegionTemp" sheetId="7" state="veryHidden" r:id="rId3"/>
    <sheet name="Map" sheetId="2" state="veryHidden" r:id="rId4"/>
    <sheet name="NewData" sheetId="4" state="veryHidden" r:id="rId5"/>
  </sheets>
  <definedNames>
    <definedName name="_xlnm._FilterDatabase" localSheetId="1" hidden="1">Summary!$A$1:$H$141</definedName>
    <definedName name="MRegion">Map!$G$9:$G$10</definedName>
    <definedName name="Slicer_Company_Name">#N/A</definedName>
  </definedNames>
  <calcPr calcId="191029"/>
  <pivotCaches>
    <pivotCache cacheId="109"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L3" i="7"/>
  <c r="L4" i="7"/>
  <c r="L5" i="7"/>
  <c r="M5" i="7" s="1"/>
  <c r="L6" i="7"/>
  <c r="M6" i="7" s="1"/>
  <c r="L7" i="7"/>
  <c r="M7" i="7" s="1"/>
  <c r="L8" i="7"/>
  <c r="M8" i="7" s="1"/>
  <c r="L9" i="7"/>
  <c r="L10" i="7"/>
  <c r="L11" i="7"/>
  <c r="M11" i="7" s="1"/>
  <c r="L12" i="7"/>
  <c r="L13" i="7"/>
  <c r="L14" i="7"/>
  <c r="L15" i="7"/>
  <c r="L16" i="7"/>
  <c r="L17" i="7"/>
  <c r="L18" i="7"/>
  <c r="L19" i="7"/>
  <c r="M19" i="7" s="1"/>
  <c r="L20" i="7"/>
  <c r="M20" i="7" s="1"/>
  <c r="L21" i="7"/>
  <c r="M21" i="7" s="1"/>
  <c r="L22" i="7"/>
  <c r="M22" i="7" s="1"/>
  <c r="L23" i="7"/>
  <c r="M23" i="7" s="1"/>
  <c r="L24" i="7"/>
  <c r="M24" i="7" s="1"/>
  <c r="L25" i="7"/>
  <c r="M25" i="7" s="1"/>
  <c r="L26" i="7"/>
  <c r="L27" i="7"/>
  <c r="L28" i="7"/>
  <c r="L29" i="7"/>
  <c r="M29" i="7" s="1"/>
  <c r="L30" i="7"/>
  <c r="M30" i="7" s="1"/>
  <c r="L31" i="7"/>
  <c r="M31" i="7" s="1"/>
  <c r="L32" i="7"/>
  <c r="M32" i="7" s="1"/>
  <c r="L33" i="7"/>
  <c r="L34" i="7"/>
  <c r="L35" i="7"/>
  <c r="L36" i="7"/>
  <c r="L37" i="7"/>
  <c r="L38" i="7"/>
  <c r="L39" i="7"/>
  <c r="L40" i="7"/>
  <c r="L41" i="7"/>
  <c r="L42" i="7"/>
  <c r="L43" i="7"/>
  <c r="M43" i="7" s="1"/>
  <c r="L44" i="7"/>
  <c r="M44" i="7" s="1"/>
  <c r="L45" i="7"/>
  <c r="M45" i="7" s="1"/>
  <c r="L46" i="7"/>
  <c r="M46" i="7" s="1"/>
  <c r="L47" i="7"/>
  <c r="M47" i="7" s="1"/>
  <c r="L48" i="7"/>
  <c r="M48" i="7" s="1"/>
  <c r="L49" i="7"/>
  <c r="M49" i="7" s="1"/>
  <c r="L50" i="7"/>
  <c r="L51" i="7"/>
  <c r="L52" i="7"/>
  <c r="L53" i="7"/>
  <c r="M53" i="7" s="1"/>
  <c r="L54" i="7"/>
  <c r="M54" i="7" s="1"/>
  <c r="L55" i="7"/>
  <c r="M55" i="7" s="1"/>
  <c r="L56" i="7"/>
  <c r="M56" i="7" s="1"/>
  <c r="L57" i="7"/>
  <c r="L58" i="7"/>
  <c r="L59" i="7"/>
  <c r="L60" i="7"/>
  <c r="L61" i="7"/>
  <c r="L62" i="7"/>
  <c r="L63" i="7"/>
  <c r="L64" i="7"/>
  <c r="M3" i="7"/>
  <c r="M4" i="7"/>
  <c r="M9" i="7"/>
  <c r="M10" i="7"/>
  <c r="M12" i="7"/>
  <c r="M13" i="7"/>
  <c r="M14" i="7"/>
  <c r="M15" i="7"/>
  <c r="M16" i="7"/>
  <c r="M17" i="7"/>
  <c r="M18" i="7"/>
  <c r="M26" i="7"/>
  <c r="M27" i="7"/>
  <c r="M28" i="7"/>
  <c r="M33" i="7"/>
  <c r="M34" i="7"/>
  <c r="M35" i="7"/>
  <c r="M36" i="7"/>
  <c r="M37" i="7"/>
  <c r="M38" i="7"/>
  <c r="M39" i="7"/>
  <c r="M40" i="7"/>
  <c r="M41" i="7"/>
  <c r="M42" i="7"/>
  <c r="M50" i="7"/>
  <c r="M51" i="7"/>
  <c r="M52" i="7"/>
  <c r="M57" i="7"/>
  <c r="M58" i="7"/>
  <c r="M59" i="7"/>
  <c r="M60" i="7"/>
  <c r="M61" i="7"/>
  <c r="M62" i="7"/>
  <c r="M63" i="7"/>
  <c r="M64" i="7"/>
  <c r="I2" i="7"/>
  <c r="L2" i="7"/>
  <c r="M2" i="7" s="1"/>
  <c r="K2" i="7"/>
  <c r="J2" i="7"/>
</calcChain>
</file>

<file path=xl/sharedStrings.xml><?xml version="1.0" encoding="utf-8"?>
<sst xmlns="http://schemas.openxmlformats.org/spreadsheetml/2006/main" count="278" uniqueCount="90">
  <si>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</si>
  <si>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</si>
  <si>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</si>
  <si>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</si>
  <si>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</si>
  <si>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</si>
  <si>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</si>
  <si>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</si>
  <si>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</si>
  <si>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</si>
  <si>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</si>
  <si>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</si>
  <si>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</si>
  <si>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</si>
  <si>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</si>
  <si>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</si>
  <si>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</si>
  <si>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</si>
  <si>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</si>
  <si>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</si>
  <si>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</si>
  <si>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</si>
  <si>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</si>
  <si>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</si>
  <si>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</si>
  <si>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</si>
  <si>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</si>
  <si>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</si>
  <si>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</si>
  <si>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</si>
  <si>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</si>
  <si>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</si>
  <si>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</si>
  <si>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</si>
  <si>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</si>
  <si>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</si>
  <si>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</si>
  <si>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</si>
  <si>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</si>
  <si>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</si>
  <si>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</si>
  <si>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</si>
  <si>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</si>
  <si>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</si>
  <si>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</si>
  <si>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</si>
  <si>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</si>
  <si>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</si>
  <si>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</si>
  <si>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</si>
  <si>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</si>
  <si>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</si>
  <si>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</si>
  <si>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</si>
  <si>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</si>
  <si>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</si>
  <si>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Regions</t>
  </si>
  <si>
    <t>Werner Strauss</t>
  </si>
  <si>
    <t>Aida GmbH</t>
  </si>
  <si>
    <t>Liebher</t>
  </si>
  <si>
    <t>Average monthly exchange rates</t>
  </si>
  <si>
    <t>Internal code</t>
  </si>
  <si>
    <t/>
  </si>
  <si>
    <t>Sales Local Currency</t>
  </si>
  <si>
    <t>Article Description</t>
  </si>
  <si>
    <t>Sales US Dollar</t>
  </si>
  <si>
    <t>Grand Total</t>
  </si>
  <si>
    <t>$ Sales</t>
  </si>
  <si>
    <t>Customer</t>
  </si>
  <si>
    <t>Regional Sales by Customer</t>
  </si>
  <si>
    <t>Article</t>
  </si>
  <si>
    <t>Quantity Sold</t>
  </si>
  <si>
    <t>Article Overview by Company</t>
  </si>
  <si>
    <t>Rejected (%)</t>
  </si>
  <si>
    <t>Rejected</t>
  </si>
  <si>
    <t>Quantity_</t>
  </si>
  <si>
    <t>Regional Overview</t>
  </si>
  <si>
    <t>% Sales</t>
  </si>
  <si>
    <t>Tasks Completed</t>
  </si>
  <si>
    <t>C11</t>
  </si>
  <si>
    <t>C14</t>
  </si>
  <si>
    <t>C19</t>
  </si>
  <si>
    <t>C18</t>
  </si>
  <si>
    <t>C10</t>
  </si>
  <si>
    <t>C17</t>
  </si>
  <si>
    <t>C13</t>
  </si>
  <si>
    <t>C16</t>
  </si>
  <si>
    <t>C12</t>
  </si>
  <si>
    <t>C20</t>
  </si>
  <si>
    <t>C15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</si>
</sst>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9"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6"/>
      <color theme="1"/>
      <name val="Arial"/>
      <family val="2"/>
      <scheme val="minor"/>
    </font>
    <font>
      <b/>
      <sz val="10"/>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9"/>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bottom style="thin">
        <color theme="0" tint="-0.14996795556505021"/>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s>
  <cellStyleXfs count="1">
    <xf numFmtId="0" fontId="0" fillId="0" borderId="0"/>
  </cellStyleXfs>
  <cellXfs count="34">
    <xf numFmtId="0" fontId="0" fillId="0" borderId="0" xfId="0"/>
    <xf numFmtId="0" fontId="1" fillId="0" borderId="0" xfId="0" applyFont="1"/>
    <xf numFmtId="0" fontId="0" fillId="2" borderId="0" xfId="0" applyFill="1"/>
    <xf numFmtId="0" fontId="2" fillId="2" borderId="0" xfId="0" applyFont="1" applyFill="1"/>
    <xf numFmtId="0" fontId="0" fillId="0" borderId="1" xfId="0" applyBorder="1"/>
    <xf numFmtId="49" fontId="3" fillId="3" borderId="0" xfId="0" applyNumberFormat="1" applyFont="1" applyFill="1" applyAlignment="1">
      <alignment horizontal="left" vertical="center" wrapText="1"/>
    </xf>
    <xf numFmtId="0" fontId="2" fillId="4" borderId="2" xfId="0" applyFont="1" applyFill="1" applyBorder="1" applyAlignment="1" applyProtection="1">
      <alignment horizontal="center" vertical="center" wrapText="1"/>
      <protection locked="0"/>
    </xf>
    <xf numFmtId="0" fontId="6" fillId="0" borderId="0" xfId="0" applyFont="1"/>
    <xf numFmtId="0" fontId="5" fillId="5" borderId="0" xfId="0"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0" fontId="0" fillId="0" borderId="0" xfId="0" pivotButton="1" applyAlignment="1">
      <alignment horizontal="left"/>
    </xf>
    <xf numFmtId="164" fontId="0" fillId="0" borderId="0" xfId="0" applyNumberFormat="1" applyAlignment="1">
      <alignment horizontal="center"/>
    </xf>
    <xf numFmtId="9" fontId="0" fillId="0" borderId="0" xfId="0" applyNumberFormat="1" applyAlignment="1">
      <alignment horizontal="center"/>
    </xf>
    <xf numFmtId="10" fontId="0" fillId="0" borderId="0" xfId="0" applyNumberFormat="1" applyAlignment="1">
      <alignment horizontal="center"/>
    </xf>
    <xf numFmtId="0" fontId="0" fillId="0" borderId="0" xfId="0" applyAlignment="1">
      <alignment horizontal="left" indent="1"/>
    </xf>
    <xf numFmtId="0" fontId="0" fillId="0" borderId="0" xfId="0" applyAlignment="1">
      <alignment horizontal="left" indent="2"/>
    </xf>
    <xf numFmtId="0" fontId="0" fillId="7" borderId="0" xfId="0" applyFill="1"/>
    <xf numFmtId="0" fontId="4" fillId="7" borderId="0" xfId="0" applyFont="1" applyFill="1"/>
    <xf numFmtId="0" fontId="0" fillId="7" borderId="3" xfId="0" applyFill="1" applyBorder="1"/>
    <xf numFmtId="0" fontId="8" fillId="7" borderId="3" xfId="0" applyFont="1" applyFill="1" applyBorder="1"/>
    <xf numFmtId="0" fontId="7" fillId="6" borderId="0" xfId="0" applyFont="1" applyFill="1" applyAlignment="1">
      <alignment horizontal="center" vertical="center"/>
    </xf>
    <xf numFmtId="0" fontId="7" fillId="6" borderId="4" xfId="0" applyFont="1" applyFill="1" applyBorder="1" applyAlignment="1">
      <alignment horizontal="center" vertical="center"/>
    </xf>
    <xf numFmtId="0" fontId="7" fillId="6" borderId="10" xfId="0" applyFont="1" applyFill="1" applyBorder="1" applyAlignment="1">
      <alignment horizontal="center" vertical="center"/>
    </xf>
    <xf numFmtId="0" fontId="7" fillId="6" borderId="5" xfId="0" applyFont="1" applyFill="1" applyBorder="1" applyAlignment="1">
      <alignment horizontal="center" vertical="center"/>
    </xf>
    <xf numFmtId="0" fontId="7" fillId="6" borderId="6" xfId="0" applyFont="1" applyFill="1" applyBorder="1" applyAlignment="1">
      <alignment horizontal="center" vertical="center"/>
    </xf>
    <xf numFmtId="0" fontId="7" fillId="6" borderId="7" xfId="0" applyFont="1" applyFill="1" applyBorder="1" applyAlignment="1">
      <alignment horizontal="center" vertical="center"/>
    </xf>
    <xf numFmtId="0" fontId="7" fillId="6" borderId="8"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9" xfId="0" applyFont="1" applyFill="1" applyBorder="1" applyAlignment="1">
      <alignment horizontal="center" vertical="center"/>
    </xf>
    <xf numFmtId="0" fontId="0" fillId="0" borderId="0" xfId="0" applyNumberFormat="1"/>
    <xf numFmtId="0" fontId="0" fillId="0" borderId="0" xfId="0" applyNumberFormat="1" applyAlignment="1">
      <alignment horizontal="center"/>
    </xf>
  </cellXfs>
  <cellStyles count="1">
    <cellStyle name="Normal" xfId="0" builtinId="0" customBuiltin="1"/>
  </cellStyles>
  <dxfs count="37">
    <dxf>
      <numFmt numFmtId="19" formatCode="yyyy/mm/dd"/>
    </dxf>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minor"/>
      </font>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numFmt numFmtId="13" formatCode="0%"/>
    </dxf>
    <dxf>
      <alignment horizontal="center"/>
    </dxf>
    <dxf>
      <alignment horizontal="left"/>
    </dxf>
    <dxf>
      <alignment horizontal="center"/>
    </dxf>
    <dxf>
      <alignment horizontal="center"/>
    </dxf>
    <dxf>
      <alignment horizontal="left"/>
    </dxf>
    <dxf>
      <alignment horizontal="center"/>
    </dxf>
    <dxf>
      <numFmt numFmtId="14" formatCode="0.00%"/>
    </dxf>
    <dxf>
      <alignment horizontal="center"/>
    </dxf>
    <dxf>
      <alignment horizontal="left"/>
    </dxf>
    <dxf>
      <numFmt numFmtId="164" formatCode="&quot;$&quot;#,##0"/>
    </dxf>
    <dxf>
      <alignment horizontal="center"/>
    </dxf>
    <dxf>
      <alignment horizontal="lef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36"/>
      <tableStyleElement type="headerRow" dxfId="35"/>
      <tableStyleElement type="totalRow" dxfId="34"/>
      <tableStyleElement type="firstRowStripe" dxfId="33"/>
      <tableStyleElement type="firstColumnStripe"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MySlicer" pivot="0" table="0" count="10" xr9:uid="{00000000-0011-0000-FFFF-FFFF01000000}">
      <tableStyleElement type="wholeTable" dxfId="25"/>
      <tableStyleElement type="headerRow" dxfId="24"/>
    </tableStyle>
    <tableStyle name="Table Style 1" pivot="0" count="1" xr9:uid="{00000000-0011-0000-FFFF-FFFF02000000}">
      <tableStyleElement type="wholeTable" dxfId="23"/>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[Monthly_Sales_Reporting_Template_Tool_Current.xlsm]RegionTemp!PtRegion</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RegionTemp!$Q$4</c:f>
              <c:strCache>
                <c:ptCount val="1"/>
                <c:pt idx="0">
                  <c:v>$ Sales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RegionTemp!$Q$5:$Q$7</c:f>
              <c:numCache>
                <c:formatCode>"$"#,##0</c:formatCode>
                <c:ptCount val="2"/>
                <c:pt idx="0">
                  <c:v>43240</c:v>
                </c:pt>
                <c:pt idx="1">
                  <c:v>42500</c:v>
                </c:pt>
              </c:numCache>
            </c:numRef>
          </c:val>
          <c:extLst>
            <c:ext xmlns:c16="http://schemas.microsoft.com/office/drawing/2014/chart" uri="{C3380CC4-5D6E-409C-BE32-E72D297353CC}">
              <c16:uniqueId val="{00000000-6DD4-4883-8E79-6A0298BDE963}"/>
            </c:ext>
          </c:extLst>
        </c:ser>
        <c:ser>
          <c:idx val="1"/>
          <c:order val="1"/>
          <c:tx>
            <c:strRef>
              <c:f>RegionTemp!$R$4</c:f>
              <c:strCache>
                <c:ptCount val="1"/>
                <c:pt idx="0">
                  <c:v>% Sales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RegionTemp!$R$5:$R$7</c:f>
              <c:numCache>
                <c:formatCode>0%</c:formatCode>
                <c:ptCount val="2"/>
                <c:pt idx="0">
                  <c:v>0.50431537205505017</c:v>
                </c:pt>
                <c:pt idx="1">
                  <c:v>0.49568462794494983</c:v>
                </c:pt>
              </c:numCache>
            </c:numRef>
          </c:val>
          <c:extLst>
            <c:ext xmlns:c16="http://schemas.microsoft.com/office/drawing/2014/chart" uri="{C3380CC4-5D6E-409C-BE32-E72D297353CC}">
              <c16:uniqueId val="{00000004-6DD4-4883-8E79-6A0298BDE963}"/>
            </c:ext>
          </c:extLst>
        </c:ser>
        <c:dLbls>
          <c:dLblPos val="inEnd"/>
          <c:showLegendKey val="0"/>
          <c:showVal val="1"/>
          <c:showCatName val="0"/>
          <c:showSerName val="0"/>
          <c:showPercent val="0"/>
          <c:showBubbleSize val="0"/>
        </c:dLbls>
        <c:gapWidth val="150"/>
        <c:overlap val="-25"/>
        <c:axId val="1286740991"/>
        <c:axId val="1286740511"/>
      </c:barChart>
      <c:catAx>
        <c:axId val="1286740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40511"/>
        <c:crosses val="autoZero"/>
        <c:auto val="1"/>
        <c:lblAlgn val="ctr"/>
        <c:lblOffset val="100"/>
        <c:noMultiLvlLbl val="0"/>
      </c:catAx>
      <c:valAx>
        <c:axId val="1286740511"/>
        <c:scaling>
          <c:orientation val="minMax"/>
        </c:scaling>
        <c:delete val="1"/>
        <c:axPos val="b"/>
        <c:numFmt formatCode="&quot;$&quot;#,##0" sourceLinked="1"/>
        <c:majorTickMark val="out"/>
        <c:minorTickMark val="none"/>
        <c:tickLblPos val="nextTo"/>
        <c:crossAx val="128674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www.publicdomainpictures.net/en/view-image.php?image=240296&amp;picture=report" TargetMode="External"/><Relationship Id="rId2" Type="http://schemas.openxmlformats.org/officeDocument/2006/relationships/hyperlink" Target="https://www.navigaweb.net/2020/12/come-aprire-file-csv-in-modo-corretto.html" TargetMode="External"/><Relationship Id="rId1" Type="http://schemas.openxmlformats.org/officeDocument/2006/relationships/image" Target="../media/image2.jpeg"/><Relationship Id="rId6" Type="http://schemas.openxmlformats.org/officeDocument/2006/relationships/image" Target="../media/image5.jpeg"/><Relationship Id="rId11" Type="http://schemas.openxmlformats.org/officeDocument/2006/relationships/image" Target="../media/image9.svg"/><Relationship Id="rId5" Type="http://schemas.openxmlformats.org/officeDocument/2006/relationships/hyperlink" Target="https://wiki.freecadweb.org/Part_Import/it" TargetMode="External"/><Relationship Id="rId10" Type="http://schemas.openxmlformats.org/officeDocument/2006/relationships/image" Target="../media/image8.png"/><Relationship Id="rId4" Type="http://schemas.openxmlformats.org/officeDocument/2006/relationships/image" Target="../media/image4.svg"/><Relationship Id="rId9" Type="http://schemas.openxmlformats.org/officeDocument/2006/relationships/image" Target="../media/image7.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5</xdr:col>
          <xdr:colOff>190500</xdr:colOff>
          <xdr:row>6</xdr:row>
          <xdr:rowOff>104775</xdr:rowOff>
        </xdr:from>
        <xdr:to>
          <xdr:col>6</xdr:col>
          <xdr:colOff>714375</xdr:colOff>
          <xdr:row>8</xdr:row>
          <xdr:rowOff>9525</xdr:rowOff>
        </xdr:to>
        <xdr:sp macro="" textlink="">
          <xdr:nvSpPr>
            <xdr:cNvPr id="1025" name="ax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424296</xdr:colOff>
      <xdr:row>5</xdr:row>
      <xdr:rowOff>8659</xdr:rowOff>
    </xdr:from>
    <xdr:to>
      <xdr:col>13</xdr:col>
      <xdr:colOff>277091</xdr:colOff>
      <xdr:row>9</xdr:row>
      <xdr:rowOff>77932</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5992091" y="1013114"/>
          <a:ext cx="2277341" cy="727363"/>
          <a:chOff x="4554682" y="926523"/>
          <a:chExt cx="2277341" cy="727363"/>
        </a:xfrm>
      </xdr:grpSpPr>
      <xdr:sp macro="[0]!export_data" textlink="">
        <xdr:nvSpPr>
          <xdr:cNvPr id="6" name="Rectangle: Rounded Corners 5">
            <a:extLst>
              <a:ext uri="{FF2B5EF4-FFF2-40B4-BE49-F238E27FC236}">
                <a16:creationId xmlns:a16="http://schemas.microsoft.com/office/drawing/2014/main" id="{00000000-0008-0000-0000-000006000000}"/>
              </a:ext>
            </a:extLst>
          </xdr:cNvPr>
          <xdr:cNvSpPr/>
        </xdr:nvSpPr>
        <xdr:spPr>
          <a:xfrm>
            <a:off x="5230090" y="926523"/>
            <a:ext cx="1601933" cy="7273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Export Data to CSV</a:t>
            </a:r>
          </a:p>
        </xdr:txBody>
      </xdr:sp>
      <xdr:pic macro="[0]!export_data">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554682" y="1004453"/>
            <a:ext cx="843869" cy="58016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grpSp>
    <xdr:clientData/>
  </xdr:twoCellAnchor>
  <xdr:twoCellAnchor>
    <xdr:from>
      <xdr:col>1</xdr:col>
      <xdr:colOff>415634</xdr:colOff>
      <xdr:row>4</xdr:row>
      <xdr:rowOff>8659</xdr:rowOff>
    </xdr:from>
    <xdr:to>
      <xdr:col>3</xdr:col>
      <xdr:colOff>25978</xdr:colOff>
      <xdr:row>7</xdr:row>
      <xdr:rowOff>124691</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684066" y="848591"/>
          <a:ext cx="1541321" cy="609600"/>
          <a:chOff x="649430" y="909205"/>
          <a:chExt cx="1541321" cy="609600"/>
        </a:xfrm>
      </xdr:grpSpPr>
      <xdr:sp macro="[0]!import_data"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134341" y="1134341"/>
            <a:ext cx="1056410" cy="31172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Import Sales</a:t>
            </a:r>
          </a:p>
        </xdr:txBody>
      </xdr:sp>
      <xdr:pic macro="[0]!import_data">
        <xdr:nvPicPr>
          <xdr:cNvPr id="11" name="Graphic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 uri="{837473B0-CC2E-450A-ABE3-18F120FF3D39}">
                <a1611:picAttrSrcUrl xmlns:a1611="http://schemas.microsoft.com/office/drawing/2016/11/main" r:id="rId5"/>
              </a:ext>
            </a:extLst>
          </a:blip>
          <a:stretch>
            <a:fillRect/>
          </a:stretch>
        </xdr:blipFill>
        <xdr:spPr>
          <a:xfrm>
            <a:off x="649430" y="909205"/>
            <a:ext cx="609600" cy="609600"/>
          </a:xfrm>
          <a:prstGeom prst="rect">
            <a:avLst/>
          </a:prstGeom>
        </xdr:spPr>
      </xdr:pic>
    </xdr:grpSp>
    <xdr:clientData/>
  </xdr:twoCellAnchor>
  <xdr:twoCellAnchor>
    <xdr:from>
      <xdr:col>4</xdr:col>
      <xdr:colOff>285751</xdr:colOff>
      <xdr:row>2</xdr:row>
      <xdr:rowOff>19456</xdr:rowOff>
    </xdr:from>
    <xdr:to>
      <xdr:col>7</xdr:col>
      <xdr:colOff>225136</xdr:colOff>
      <xdr:row>5</xdr:row>
      <xdr:rowOff>34636</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3091296" y="530342"/>
          <a:ext cx="1792431" cy="508749"/>
          <a:chOff x="2675660" y="651569"/>
          <a:chExt cx="1792431" cy="508749"/>
        </a:xfrm>
      </xdr:grpSpPr>
      <xdr:sp macro="[0]!create_reports" textlink="">
        <xdr:nvSpPr>
          <xdr:cNvPr id="5" name="Rectangle: Rounded Corners 4">
            <a:extLst>
              <a:ext uri="{FF2B5EF4-FFF2-40B4-BE49-F238E27FC236}">
                <a16:creationId xmlns:a16="http://schemas.microsoft.com/office/drawing/2014/main" id="{00000000-0008-0000-0000-000005000000}"/>
              </a:ext>
            </a:extLst>
          </xdr:cNvPr>
          <xdr:cNvSpPr/>
        </xdr:nvSpPr>
        <xdr:spPr>
          <a:xfrm>
            <a:off x="3359727" y="787978"/>
            <a:ext cx="1108364" cy="2684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Create Report</a:t>
            </a:r>
          </a:p>
        </xdr:txBody>
      </xdr:sp>
      <xdr:pic macro="[0]!create_reports">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flipH="1">
            <a:off x="2675660" y="651569"/>
            <a:ext cx="753340" cy="508749"/>
          </a:xfrm>
          <a:prstGeom prst="rect">
            <a:avLst/>
          </a:prstGeom>
        </xdr:spPr>
      </xdr:pic>
    </xdr:grpSp>
    <xdr:clientData/>
  </xdr:twoCellAnchor>
  <xdr:twoCellAnchor>
    <xdr:from>
      <xdr:col>10</xdr:col>
      <xdr:colOff>129887</xdr:colOff>
      <xdr:row>9</xdr:row>
      <xdr:rowOff>155863</xdr:rowOff>
    </xdr:from>
    <xdr:to>
      <xdr:col>12</xdr:col>
      <xdr:colOff>285751</xdr:colOff>
      <xdr:row>12</xdr:row>
      <xdr:rowOff>169717</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6303819" y="1818408"/>
          <a:ext cx="1368137" cy="507423"/>
          <a:chOff x="6303819" y="1818408"/>
          <a:chExt cx="1368137" cy="507423"/>
        </a:xfrm>
      </xdr:grpSpPr>
      <xdr:sp macro="[0]!reset_data"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6667502" y="1948295"/>
            <a:ext cx="1004454" cy="355023"/>
          </a:xfrm>
          <a:prstGeom prst="round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a:t>Reset Data</a:t>
            </a:r>
          </a:p>
        </xdr:txBody>
      </xdr:sp>
      <xdr:pic macro="[0]!reset_data">
        <xdr:nvPicPr>
          <xdr:cNvPr id="22" name="Graphic 21" descr="Eraser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303819" y="1818408"/>
            <a:ext cx="507423" cy="507423"/>
          </a:xfrm>
          <a:prstGeom prst="rect">
            <a:avLst/>
          </a:prstGeom>
        </xdr:spPr>
      </xdr:pic>
    </xdr:grpSp>
    <xdr:clientData/>
  </xdr:twoCellAnchor>
  <xdr:twoCellAnchor>
    <xdr:from>
      <xdr:col>14</xdr:col>
      <xdr:colOff>95250</xdr:colOff>
      <xdr:row>4</xdr:row>
      <xdr:rowOff>155862</xdr:rowOff>
    </xdr:from>
    <xdr:to>
      <xdr:col>16</xdr:col>
      <xdr:colOff>129886</xdr:colOff>
      <xdr:row>12</xdr:row>
      <xdr:rowOff>48490</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8693727" y="995794"/>
          <a:ext cx="1246909" cy="1208810"/>
          <a:chOff x="8693727" y="995794"/>
          <a:chExt cx="1246909" cy="1208810"/>
        </a:xfrm>
      </xdr:grpSpPr>
      <xdr:sp macro="[0]!admin_tasks" textlink="">
        <xdr:nvSpPr>
          <xdr:cNvPr id="24" name="Rectangle: Diagonal Corners Snipped 23">
            <a:extLst>
              <a:ext uri="{FF2B5EF4-FFF2-40B4-BE49-F238E27FC236}">
                <a16:creationId xmlns:a16="http://schemas.microsoft.com/office/drawing/2014/main" id="{00000000-0008-0000-0000-000018000000}"/>
              </a:ext>
            </a:extLst>
          </xdr:cNvPr>
          <xdr:cNvSpPr/>
        </xdr:nvSpPr>
        <xdr:spPr>
          <a:xfrm>
            <a:off x="8693727" y="995794"/>
            <a:ext cx="1246909" cy="961159"/>
          </a:xfrm>
          <a:prstGeom prst="snip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CA" sz="1400" b="1"/>
              <a:t>Admin</a:t>
            </a:r>
          </a:p>
        </xdr:txBody>
      </xdr:sp>
      <xdr:pic macro="[0]!admin_tasks">
        <xdr:nvPicPr>
          <xdr:cNvPr id="28" name="Graphic 27" descr="Crown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659082"/>
            <a:ext cx="545522" cy="545522"/>
          </a:xfrm>
          <a:prstGeom prst="rect">
            <a:avLst/>
          </a:prstGeom>
        </xdr:spPr>
      </xdr:pic>
    </xdr:grpSp>
    <xdr:clientData/>
  </xdr:twoCellAnchor>
  <xdr:twoCellAnchor>
    <xdr:from>
      <xdr:col>14</xdr:col>
      <xdr:colOff>259773</xdr:colOff>
      <xdr:row>11</xdr:row>
      <xdr:rowOff>155863</xdr:rowOff>
    </xdr:from>
    <xdr:to>
      <xdr:col>16</xdr:col>
      <xdr:colOff>112568</xdr:colOff>
      <xdr:row>13</xdr:row>
      <xdr:rowOff>103909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858250" y="2147454"/>
          <a:ext cx="1065068"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Pass: 1234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561975</xdr:colOff>
      <xdr:row>10</xdr:row>
      <xdr:rowOff>47625</xdr:rowOff>
    </xdr:from>
    <xdr:to>
      <xdr:col>23</xdr:col>
      <xdr:colOff>571501</xdr:colOff>
      <xdr:row>27</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600075</xdr:colOff>
      <xdr:row>3</xdr:row>
      <xdr:rowOff>104775</xdr:rowOff>
    </xdr:from>
    <xdr:to>
      <xdr:col>26</xdr:col>
      <xdr:colOff>180975</xdr:colOff>
      <xdr:row>9</xdr:row>
      <xdr:rowOff>114300</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4612600" y="590550"/>
              <a:ext cx="1828800" cy="8096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D" refreshedDate="45128.961046759257" createdVersion="8" refreshedVersion="8" minRefreshableVersion="3" recordCount="63" xr:uid="{C580E154-1964-450A-8EF7-4D41D9AEACB2}">
  <cacheSource type="worksheet">
    <worksheetSource name="TableTemp"/>
  </cacheSource>
  <cacheFields count="17">
    <cacheField name="Company ID" numFmtId="0">
      <sharedItems/>
    </cacheField>
    <cacheField name="Sales Document" numFmtId="0">
      <sharedItems containsSemiMixedTypes="0" containsString="0" containsNumber="1" containsInteger="1" minValue="24030" maxValue="68116"/>
    </cacheField>
    <cacheField name="Document Date" numFmtId="14">
      <sharedItems containsSemiMixedTypes="0" containsNonDate="0" containsDate="1" containsString="0" minDate="2018-10-02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200"/>
    </cacheField>
    <cacheField name="Sales Local Currency" numFmtId="0">
      <sharedItems containsSemiMixedTypes="0" containsString="0" containsNumber="1" containsInteger="1" minValue="100" maxValue="2500"/>
    </cacheField>
    <cacheField name="Company Name" numFmtId="0">
      <sharedItems containsBlank="1" count="6">
        <s v="Meta Creations"/>
        <s v="Urban Right"/>
        <m u="1"/>
        <s v="Bere Kleid" u="1"/>
        <s v="Lucas Basics" u="1"/>
        <s v="America" u="1"/>
      </sharedItems>
    </cacheField>
    <cacheField name="Customer Name" numFmtId="0">
      <sharedItems count="6">
        <s v="Erma"/>
        <s v="Dellicia"/>
        <s v="Werner Strauss" u="1"/>
        <s v="Liebher" u="1"/>
        <s v="Edson" u="1"/>
        <s v="Aida GmbH" u="1"/>
      </sharedItems>
    </cacheField>
    <cacheField name="Article Description" numFmtId="0">
      <sharedItems count="19">
        <s v="Men type T simple white"/>
        <s v="Men type T simple black"/>
        <s v="Men basics"/>
        <s v="Laptop bag black"/>
        <s v="Men dress shirt black"/>
        <s v="Men dress shirt grey"/>
        <s v="Men shorts grey"/>
        <s v="Men shorts black"/>
        <s v="Unisex tank top white"/>
        <s v="Women type T simple white"/>
        <s v="Women type T simple black"/>
        <s v="Women crop top black"/>
        <s v="Women basics"/>
        <s v="Women evening dress long black" u="1"/>
        <s v="Unisex tank top black" u="1"/>
        <s v="Smartphone case simple" u="1"/>
        <s v="Smartphone case diamond" u="1"/>
        <s v="Laptop bag red" u="1"/>
        <s v="Women evening dress Cocktail red" u="1"/>
      </sharedItems>
    </cacheField>
    <cacheField name="Currency" numFmtId="0">
      <sharedItems/>
    </cacheField>
    <cacheField name="Sales US Dollar" numFmtId="0">
      <sharedItems containsSemiMixedTypes="0" containsString="0" containsNumber="1" containsInteger="1" minValue="100" maxValue="2500"/>
    </cacheField>
    <cacheField name="Field1" numFmtId="0" formula="Reject/ COUNT('Article code')" databaseField="0"/>
    <cacheField name="Field2" numFmtId="0" formula="Reject/COUNT('Sales US Dollar')" databaseField="0"/>
    <cacheField name="% Rejected" numFmtId="0" formula=" COUNT(Reject)/COUNT('Sales US Dollar')" databaseField="0"/>
    <cacheField name="Rejected %" numFmtId="0" formula="Reject/Quantity" databaseField="0"/>
  </cacheFields>
  <extLst>
    <ext xmlns:x14="http://schemas.microsoft.com/office/spreadsheetml/2009/9/main" uri="{725AE2AE-9491-48be-B2B4-4EB974FC3084}">
      <x14:pivotCacheDefinition pivotCacheId="359140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s v="1020US"/>
    <n v="24030"/>
    <d v="2018-10-02T00:00:00"/>
    <n v="8020"/>
    <n v="101"/>
    <n v="1"/>
    <n v="130"/>
    <n v="1560"/>
    <x v="0"/>
    <x v="0"/>
    <x v="0"/>
    <s v="USD"/>
    <n v="1560"/>
  </r>
  <r>
    <s v="1020US"/>
    <n v="24030"/>
    <d v="2018-10-02T00:00:00"/>
    <n v="8020"/>
    <n v="102"/>
    <m/>
    <n v="30"/>
    <n v="360"/>
    <x v="0"/>
    <x v="0"/>
    <x v="1"/>
    <s v="USD"/>
    <n v="360"/>
  </r>
  <r>
    <s v="1020US"/>
    <n v="24030"/>
    <d v="2018-10-02T00:00:00"/>
    <n v="8020"/>
    <n v="106"/>
    <s v=""/>
    <n v="60"/>
    <n v="300"/>
    <x v="0"/>
    <x v="0"/>
    <x v="2"/>
    <s v="USD"/>
    <n v="300"/>
  </r>
  <r>
    <s v="1020US"/>
    <n v="24030"/>
    <d v="2018-10-02T00:00:00"/>
    <n v="8020"/>
    <n v="108"/>
    <m/>
    <n v="80"/>
    <n v="2240"/>
    <x v="0"/>
    <x v="0"/>
    <x v="3"/>
    <s v="USD"/>
    <n v="2240"/>
  </r>
  <r>
    <s v="1020US"/>
    <n v="24031"/>
    <d v="2018-10-08T00:00:00"/>
    <n v="8020"/>
    <n v="101"/>
    <s v=""/>
    <n v="100"/>
    <n v="1200"/>
    <x v="0"/>
    <x v="0"/>
    <x v="0"/>
    <s v="USD"/>
    <n v="1200"/>
  </r>
  <r>
    <s v="1020US"/>
    <n v="24031"/>
    <d v="2018-10-08T00:00:00"/>
    <n v="8020"/>
    <n v="108"/>
    <s v=""/>
    <n v="20"/>
    <n v="560"/>
    <x v="0"/>
    <x v="0"/>
    <x v="3"/>
    <s v="USD"/>
    <n v="560"/>
  </r>
  <r>
    <s v="1020US"/>
    <n v="24031"/>
    <d v="2018-10-08T00:00:00"/>
    <n v="8020"/>
    <n v="113"/>
    <s v=""/>
    <n v="100"/>
    <n v="2500"/>
    <x v="0"/>
    <x v="0"/>
    <x v="4"/>
    <s v="USD"/>
    <n v="2500"/>
  </r>
  <r>
    <s v="1020US"/>
    <n v="28112"/>
    <d v="2018-10-12T00:00:00"/>
    <n v="8020"/>
    <n v="114"/>
    <n v="1"/>
    <n v="50"/>
    <n v="1250"/>
    <x v="0"/>
    <x v="0"/>
    <x v="5"/>
    <s v="USD"/>
    <n v="1250"/>
  </r>
  <r>
    <s v="1020US"/>
    <n v="28112"/>
    <d v="2018-10-12T00:00:00"/>
    <n v="8020"/>
    <n v="101"/>
    <s v=""/>
    <n v="40"/>
    <n v="480"/>
    <x v="0"/>
    <x v="0"/>
    <x v="0"/>
    <s v="USD"/>
    <n v="480"/>
  </r>
  <r>
    <s v="1020US"/>
    <n v="28112"/>
    <d v="2018-10-12T00:00:00"/>
    <n v="8020"/>
    <n v="102"/>
    <m/>
    <n v="70"/>
    <n v="840"/>
    <x v="0"/>
    <x v="0"/>
    <x v="1"/>
    <s v="USD"/>
    <n v="840"/>
  </r>
  <r>
    <s v="1020US"/>
    <n v="28112"/>
    <d v="2018-10-12T00:00:00"/>
    <n v="8020"/>
    <n v="106"/>
    <m/>
    <n v="70"/>
    <n v="350"/>
    <x v="0"/>
    <x v="0"/>
    <x v="2"/>
    <s v="USD"/>
    <n v="350"/>
  </r>
  <r>
    <s v="1020US"/>
    <n v="28112"/>
    <d v="2018-10-12T00:00:00"/>
    <n v="8020"/>
    <n v="108"/>
    <m/>
    <n v="10"/>
    <n v="280"/>
    <x v="0"/>
    <x v="0"/>
    <x v="3"/>
    <s v="USD"/>
    <n v="280"/>
  </r>
  <r>
    <s v="1020US"/>
    <n v="28112"/>
    <d v="2018-10-12T00:00:00"/>
    <n v="8020"/>
    <n v="117"/>
    <m/>
    <n v="80"/>
    <n v="1440"/>
    <x v="0"/>
    <x v="0"/>
    <x v="6"/>
    <s v="USD"/>
    <n v="1440"/>
  </r>
  <r>
    <s v="1020US"/>
    <n v="28112"/>
    <d v="2018-10-12T00:00:00"/>
    <n v="8020"/>
    <n v="118"/>
    <m/>
    <n v="70"/>
    <n v="1260"/>
    <x v="0"/>
    <x v="0"/>
    <x v="7"/>
    <s v="USD"/>
    <n v="1260"/>
  </r>
  <r>
    <s v="1020US"/>
    <n v="25442"/>
    <d v="2018-10-16T00:00:00"/>
    <n v="8010"/>
    <n v="118"/>
    <m/>
    <n v="70"/>
    <n v="1260"/>
    <x v="0"/>
    <x v="1"/>
    <x v="7"/>
    <s v="USD"/>
    <n v="1260"/>
  </r>
  <r>
    <s v="1020US"/>
    <n v="25442"/>
    <d v="2018-10-16T00:00:00"/>
    <n v="8010"/>
    <n v="117"/>
    <n v="6"/>
    <n v="80"/>
    <n v="1440"/>
    <x v="0"/>
    <x v="1"/>
    <x v="6"/>
    <s v="USD"/>
    <n v="1440"/>
  </r>
  <r>
    <s v="1020US"/>
    <n v="25442"/>
    <d v="2018-10-16T00:00:00"/>
    <n v="8010"/>
    <n v="118"/>
    <m/>
    <n v="70"/>
    <n v="1260"/>
    <x v="0"/>
    <x v="1"/>
    <x v="7"/>
    <s v="USD"/>
    <n v="1260"/>
  </r>
  <r>
    <s v="1020US"/>
    <n v="25442"/>
    <d v="2018-10-16T00:00:00"/>
    <n v="8010"/>
    <n v="116"/>
    <n v="1"/>
    <n v="60"/>
    <n v="360"/>
    <x v="0"/>
    <x v="1"/>
    <x v="8"/>
    <s v="USD"/>
    <n v="360"/>
  </r>
  <r>
    <s v="1020US"/>
    <n v="25442"/>
    <d v="2018-10-16T00:00:00"/>
    <n v="8010"/>
    <n v="106"/>
    <m/>
    <n v="20"/>
    <n v="100"/>
    <x v="0"/>
    <x v="1"/>
    <x v="2"/>
    <s v="USD"/>
    <n v="100"/>
  </r>
  <r>
    <s v="1020US"/>
    <n v="25442"/>
    <d v="2018-10-16T00:00:00"/>
    <n v="8010"/>
    <n v="101"/>
    <m/>
    <n v="40"/>
    <n v="480"/>
    <x v="0"/>
    <x v="1"/>
    <x v="0"/>
    <s v="USD"/>
    <n v="480"/>
  </r>
  <r>
    <s v="1020US"/>
    <n v="25442"/>
    <d v="2018-10-16T00:00:00"/>
    <n v="8010"/>
    <n v="102"/>
    <m/>
    <n v="10"/>
    <n v="120"/>
    <x v="0"/>
    <x v="1"/>
    <x v="1"/>
    <s v="USD"/>
    <n v="120"/>
  </r>
  <r>
    <s v="1010US"/>
    <n v="66030"/>
    <d v="2018-10-04T00:00:00"/>
    <n v="8010"/>
    <n v="103"/>
    <s v=""/>
    <n v="120"/>
    <n v="1440"/>
    <x v="1"/>
    <x v="1"/>
    <x v="9"/>
    <s v="USD"/>
    <n v="1440"/>
  </r>
  <r>
    <s v="1010US"/>
    <n v="66030"/>
    <d v="2018-10-04T00:00:00"/>
    <n v="8010"/>
    <n v="104"/>
    <m/>
    <n v="150"/>
    <n v="1800"/>
    <x v="1"/>
    <x v="1"/>
    <x v="10"/>
    <s v="USD"/>
    <n v="1800"/>
  </r>
  <r>
    <s v="1010US"/>
    <n v="66032"/>
    <d v="2018-10-07T00:00:00"/>
    <n v="8010"/>
    <n v="103"/>
    <m/>
    <n v="170"/>
    <n v="2040"/>
    <x v="1"/>
    <x v="1"/>
    <x v="9"/>
    <s v="USD"/>
    <n v="2040"/>
  </r>
  <r>
    <s v="1010US"/>
    <n v="66032"/>
    <d v="2018-10-07T00:00:00"/>
    <n v="8010"/>
    <n v="104"/>
    <m/>
    <n v="140"/>
    <n v="1680"/>
    <x v="1"/>
    <x v="1"/>
    <x v="10"/>
    <s v="USD"/>
    <n v="1680"/>
  </r>
  <r>
    <s v="1010US"/>
    <n v="66031"/>
    <d v="2018-10-08T00:00:00"/>
    <n v="8020"/>
    <n v="103"/>
    <n v="1"/>
    <n v="140"/>
    <n v="1680"/>
    <x v="1"/>
    <x v="0"/>
    <x v="9"/>
    <s v="USD"/>
    <n v="1680"/>
  </r>
  <r>
    <s v="1010US"/>
    <n v="66031"/>
    <d v="2018-10-08T00:00:00"/>
    <n v="8020"/>
    <n v="104"/>
    <m/>
    <n v="150"/>
    <n v="1800"/>
    <x v="1"/>
    <x v="0"/>
    <x v="10"/>
    <s v="USD"/>
    <n v="1800"/>
  </r>
  <r>
    <s v="1010US"/>
    <n v="66031"/>
    <d v="2018-10-08T00:00:00"/>
    <n v="8020"/>
    <n v="105"/>
    <m/>
    <n v="100"/>
    <n v="1000"/>
    <x v="1"/>
    <x v="0"/>
    <x v="11"/>
    <s v="USD"/>
    <n v="1000"/>
  </r>
  <r>
    <s v="1010US"/>
    <n v="68112"/>
    <d v="2018-10-11T00:00:00"/>
    <n v="8010"/>
    <n v="104"/>
    <n v="4"/>
    <n v="180"/>
    <n v="2160"/>
    <x v="1"/>
    <x v="1"/>
    <x v="10"/>
    <s v="USD"/>
    <n v="2160"/>
  </r>
  <r>
    <s v="1010US"/>
    <n v="68112"/>
    <d v="2018-10-11T00:00:00"/>
    <n v="8010"/>
    <n v="105"/>
    <m/>
    <n v="120"/>
    <n v="1200"/>
    <x v="1"/>
    <x v="1"/>
    <x v="11"/>
    <s v="USD"/>
    <n v="1200"/>
  </r>
  <r>
    <s v="1010US"/>
    <n v="68116"/>
    <d v="2018-10-11T00:00:00"/>
    <n v="8020"/>
    <n v="104"/>
    <m/>
    <n v="150"/>
    <n v="1800"/>
    <x v="1"/>
    <x v="0"/>
    <x v="10"/>
    <s v="USD"/>
    <n v="1800"/>
  </r>
  <r>
    <s v="1010US"/>
    <n v="68116"/>
    <d v="2018-10-11T00:00:00"/>
    <n v="8020"/>
    <n v="105"/>
    <m/>
    <n v="190"/>
    <n v="1900"/>
    <x v="1"/>
    <x v="0"/>
    <x v="11"/>
    <s v="USD"/>
    <n v="1900"/>
  </r>
  <r>
    <s v="1010US"/>
    <n v="68116"/>
    <d v="2018-10-11T00:00:00"/>
    <n v="8020"/>
    <n v="107"/>
    <n v="2"/>
    <n v="160"/>
    <n v="800"/>
    <x v="1"/>
    <x v="0"/>
    <x v="12"/>
    <s v="USD"/>
    <n v="800"/>
  </r>
  <r>
    <s v="1010US"/>
    <n v="68116"/>
    <d v="2018-10-11T00:00:00"/>
    <n v="8010"/>
    <n v="104"/>
    <m/>
    <n v="160"/>
    <n v="1920"/>
    <x v="1"/>
    <x v="1"/>
    <x v="10"/>
    <s v="USD"/>
    <n v="1920"/>
  </r>
  <r>
    <s v="1010US"/>
    <n v="68116"/>
    <d v="2018-10-11T00:00:00"/>
    <n v="8010"/>
    <n v="105"/>
    <m/>
    <n v="190"/>
    <n v="1900"/>
    <x v="1"/>
    <x v="1"/>
    <x v="11"/>
    <s v="USD"/>
    <n v="1900"/>
  </r>
  <r>
    <s v="1010US"/>
    <n v="65662"/>
    <d v="2018-10-15T00:00:00"/>
    <n v="8020"/>
    <n v="103"/>
    <m/>
    <n v="120"/>
    <n v="1440"/>
    <x v="1"/>
    <x v="0"/>
    <x v="9"/>
    <s v="USD"/>
    <n v="1440"/>
  </r>
  <r>
    <s v="1010US"/>
    <n v="65662"/>
    <d v="2018-10-15T00:00:00"/>
    <n v="8020"/>
    <n v="104"/>
    <m/>
    <n v="110"/>
    <n v="1320"/>
    <x v="1"/>
    <x v="0"/>
    <x v="10"/>
    <s v="USD"/>
    <n v="1320"/>
  </r>
  <r>
    <s v="1010US"/>
    <n v="65666"/>
    <d v="2018-10-15T00:00:00"/>
    <n v="8010"/>
    <n v="103"/>
    <m/>
    <n v="120"/>
    <n v="1440"/>
    <x v="1"/>
    <x v="1"/>
    <x v="9"/>
    <s v="USD"/>
    <n v="1440"/>
  </r>
  <r>
    <s v="1010US"/>
    <n v="65666"/>
    <d v="2018-10-15T00:00:00"/>
    <n v="8010"/>
    <n v="104"/>
    <m/>
    <n v="140"/>
    <n v="1680"/>
    <x v="1"/>
    <x v="1"/>
    <x v="10"/>
    <s v="USD"/>
    <n v="1680"/>
  </r>
  <r>
    <s v="1010US"/>
    <n v="65666"/>
    <d v="2018-10-15T00:00:00"/>
    <n v="8010"/>
    <n v="105"/>
    <m/>
    <n v="160"/>
    <n v="1600"/>
    <x v="1"/>
    <x v="1"/>
    <x v="11"/>
    <s v="USD"/>
    <n v="1600"/>
  </r>
  <r>
    <s v="1010US"/>
    <n v="65666"/>
    <d v="2018-10-15T00:00:00"/>
    <n v="8020"/>
    <n v="107"/>
    <m/>
    <n v="120"/>
    <n v="600"/>
    <x v="1"/>
    <x v="0"/>
    <x v="12"/>
    <s v="USD"/>
    <n v="600"/>
  </r>
  <r>
    <s v="1010US"/>
    <n v="65666"/>
    <d v="2018-10-15T00:00:00"/>
    <n v="8020"/>
    <n v="103"/>
    <m/>
    <n v="200"/>
    <n v="2400"/>
    <x v="1"/>
    <x v="0"/>
    <x v="9"/>
    <s v="USD"/>
    <n v="2400"/>
  </r>
  <r>
    <s v="1010US"/>
    <n v="66015"/>
    <d v="2018-10-10T00:00:00"/>
    <n v="8010"/>
    <n v="103"/>
    <m/>
    <n v="140"/>
    <n v="1680"/>
    <x v="1"/>
    <x v="1"/>
    <x v="9"/>
    <s v="USD"/>
    <n v="1680"/>
  </r>
  <r>
    <s v="1010US"/>
    <n v="66015"/>
    <d v="2018-10-10T00:00:00"/>
    <n v="8010"/>
    <n v="104"/>
    <m/>
    <n v="140"/>
    <n v="1680"/>
    <x v="1"/>
    <x v="1"/>
    <x v="10"/>
    <s v="USD"/>
    <n v="1680"/>
  </r>
  <r>
    <s v="1010US"/>
    <n v="66017"/>
    <d v="2018-10-13T00:00:00"/>
    <n v="8010"/>
    <n v="103"/>
    <m/>
    <n v="140"/>
    <n v="1680"/>
    <x v="1"/>
    <x v="1"/>
    <x v="9"/>
    <s v="USD"/>
    <n v="1680"/>
  </r>
  <r>
    <s v="1010US"/>
    <n v="66017"/>
    <d v="2018-10-13T00:00:00"/>
    <n v="8010"/>
    <n v="104"/>
    <m/>
    <n v="140"/>
    <n v="1680"/>
    <x v="1"/>
    <x v="1"/>
    <x v="10"/>
    <s v="USD"/>
    <n v="1680"/>
  </r>
  <r>
    <s v="1010US"/>
    <n v="66016"/>
    <d v="2018-10-14T00:00:00"/>
    <n v="8020"/>
    <n v="103"/>
    <m/>
    <n v="120"/>
    <n v="1440"/>
    <x v="1"/>
    <x v="0"/>
    <x v="9"/>
    <s v="USD"/>
    <n v="1440"/>
  </r>
  <r>
    <s v="1010US"/>
    <n v="66016"/>
    <d v="2018-10-14T00:00:00"/>
    <n v="8020"/>
    <n v="104"/>
    <m/>
    <n v="130"/>
    <n v="1560"/>
    <x v="1"/>
    <x v="0"/>
    <x v="10"/>
    <s v="USD"/>
    <n v="1560"/>
  </r>
  <r>
    <s v="1010US"/>
    <n v="66016"/>
    <d v="2018-10-14T00:00:00"/>
    <n v="8020"/>
    <n v="105"/>
    <m/>
    <n v="120"/>
    <n v="1200"/>
    <x v="1"/>
    <x v="0"/>
    <x v="11"/>
    <s v="USD"/>
    <n v="1200"/>
  </r>
  <r>
    <s v="1010US"/>
    <n v="68097"/>
    <d v="2018-10-17T00:00:00"/>
    <n v="8010"/>
    <n v="104"/>
    <m/>
    <n v="140"/>
    <n v="1680"/>
    <x v="1"/>
    <x v="1"/>
    <x v="10"/>
    <s v="USD"/>
    <n v="1680"/>
  </r>
  <r>
    <s v="1010US"/>
    <n v="68097"/>
    <d v="2018-10-17T00:00:00"/>
    <n v="8010"/>
    <n v="105"/>
    <m/>
    <n v="130"/>
    <n v="1300"/>
    <x v="1"/>
    <x v="1"/>
    <x v="11"/>
    <s v="USD"/>
    <n v="1300"/>
  </r>
  <r>
    <s v="1010US"/>
    <n v="68099"/>
    <d v="2018-10-17T00:00:00"/>
    <n v="8020"/>
    <n v="104"/>
    <m/>
    <n v="120"/>
    <n v="1440"/>
    <x v="1"/>
    <x v="0"/>
    <x v="10"/>
    <s v="USD"/>
    <n v="1440"/>
  </r>
  <r>
    <s v="1010US"/>
    <n v="68099"/>
    <d v="2018-10-17T00:00:00"/>
    <n v="8020"/>
    <n v="105"/>
    <n v="2"/>
    <n v="140"/>
    <n v="1400"/>
    <x v="1"/>
    <x v="0"/>
    <x v="11"/>
    <s v="USD"/>
    <n v="1400"/>
  </r>
  <r>
    <s v="1010US"/>
    <n v="68099"/>
    <d v="2018-10-17T00:00:00"/>
    <n v="8020"/>
    <n v="107"/>
    <m/>
    <n v="170"/>
    <n v="850"/>
    <x v="1"/>
    <x v="0"/>
    <x v="12"/>
    <s v="USD"/>
    <n v="850"/>
  </r>
  <r>
    <s v="1010US"/>
    <n v="68101"/>
    <d v="2018-10-17T00:00:00"/>
    <n v="8010"/>
    <n v="104"/>
    <m/>
    <n v="190"/>
    <n v="2280"/>
    <x v="1"/>
    <x v="1"/>
    <x v="10"/>
    <s v="USD"/>
    <n v="2280"/>
  </r>
  <r>
    <s v="1010US"/>
    <n v="68101"/>
    <d v="2018-10-17T00:00:00"/>
    <n v="8010"/>
    <n v="105"/>
    <m/>
    <n v="140"/>
    <n v="1400"/>
    <x v="1"/>
    <x v="1"/>
    <x v="11"/>
    <s v="USD"/>
    <n v="1400"/>
  </r>
  <r>
    <s v="1010US"/>
    <n v="65627"/>
    <d v="2018-10-21T00:00:00"/>
    <n v="8020"/>
    <n v="103"/>
    <m/>
    <n v="140"/>
    <n v="1680"/>
    <x v="1"/>
    <x v="0"/>
    <x v="9"/>
    <s v="USD"/>
    <n v="1680"/>
  </r>
  <r>
    <s v="1010US"/>
    <n v="65627"/>
    <d v="2018-10-21T00:00:00"/>
    <n v="8020"/>
    <n v="104"/>
    <n v="3"/>
    <n v="160"/>
    <n v="1920"/>
    <x v="1"/>
    <x v="0"/>
    <x v="10"/>
    <s v="USD"/>
    <n v="1920"/>
  </r>
  <r>
    <s v="1010US"/>
    <n v="65629"/>
    <d v="2018-10-21T00:00:00"/>
    <n v="8010"/>
    <n v="103"/>
    <m/>
    <n v="190"/>
    <n v="2280"/>
    <x v="1"/>
    <x v="1"/>
    <x v="9"/>
    <s v="USD"/>
    <n v="2280"/>
  </r>
  <r>
    <s v="1010US"/>
    <n v="65629"/>
    <d v="2018-10-21T00:00:00"/>
    <n v="8010"/>
    <n v="104"/>
    <m/>
    <n v="130"/>
    <n v="1560"/>
    <x v="1"/>
    <x v="1"/>
    <x v="10"/>
    <s v="USD"/>
    <n v="1560"/>
  </r>
  <r>
    <s v="1010US"/>
    <n v="65629"/>
    <d v="2018-10-21T00:00:00"/>
    <n v="8010"/>
    <n v="105"/>
    <m/>
    <n v="140"/>
    <n v="1400"/>
    <x v="1"/>
    <x v="1"/>
    <x v="11"/>
    <s v="USD"/>
    <n v="1400"/>
  </r>
  <r>
    <s v="1010US"/>
    <n v="65631"/>
    <d v="2018-10-21T00:00:00"/>
    <n v="8020"/>
    <n v="107"/>
    <m/>
    <n v="190"/>
    <n v="950"/>
    <x v="1"/>
    <x v="0"/>
    <x v="12"/>
    <s v="USD"/>
    <n v="950"/>
  </r>
  <r>
    <s v="1010US"/>
    <n v="65631"/>
    <d v="2018-10-21T00:00:00"/>
    <n v="8020"/>
    <n v="103"/>
    <m/>
    <n v="120"/>
    <n v="1440"/>
    <x v="1"/>
    <x v="0"/>
    <x v="9"/>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5D5DBA-6B15-4D47-81F6-10EF92AADE3D}" name="PtRegion"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ustomer">
  <location ref="P4:R7" firstHeaderRow="0" firstDataRow="1" firstDataCol="1"/>
  <pivotFields count="17">
    <pivotField showAll="0"/>
    <pivotField showAll="0"/>
    <pivotField numFmtId="14" showAll="0"/>
    <pivotField showAll="0"/>
    <pivotField showAll="0"/>
    <pivotField showAll="0"/>
    <pivotField showAll="0"/>
    <pivotField showAll="0"/>
    <pivotField showAll="0"/>
    <pivotField axis="axisRow" showAll="0">
      <items count="7">
        <item m="1" x="5"/>
        <item m="1" x="4"/>
        <item m="1" x="3"/>
        <item m="1" x="2"/>
        <item x="0"/>
        <item x="1"/>
        <item t="default"/>
      </items>
    </pivotField>
    <pivotField showAll="0"/>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9"/>
  </rowFields>
  <rowItems count="3">
    <i>
      <x v="4"/>
    </i>
    <i>
      <x v="5"/>
    </i>
    <i t="grand">
      <x/>
    </i>
  </rowItems>
  <colFields count="1">
    <field x="-2"/>
  </colFields>
  <colItems count="2">
    <i>
      <x/>
    </i>
    <i i="1">
      <x v="1"/>
    </i>
  </colItems>
  <dataFields count="2">
    <dataField name="$ Sales" fld="12" baseField="9" baseItem="0" numFmtId="164"/>
    <dataField name="% Sales" fld="12" showDataAs="percentOfTotal" baseField="9" baseItem="2" numFmtId="9"/>
  </dataFields>
  <formats count="4">
    <format dxfId="13">
      <pivotArea dataOnly="0" labelOnly="1" outline="0" fieldPosition="0">
        <references count="1">
          <reference field="4294967294" count="1">
            <x v="0"/>
          </reference>
        </references>
      </pivotArea>
    </format>
    <format dxfId="12">
      <pivotArea field="9" type="button" dataOnly="0" labelOnly="1" outline="0" axis="axisRow" fieldPosition="0"/>
    </format>
    <format dxfId="11">
      <pivotArea outline="0" collapsedLevelsAreSubtotals="1" fieldPosition="0"/>
    </format>
    <format dxfId="10">
      <pivotArea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E57CF7-5112-459F-9FC4-033306859258}" name="PTOverview" cacheId="109"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 rowHeaderCaption="Customer">
  <location ref="AL9:AN37" firstHeaderRow="0" firstDataRow="1" firstDataCol="1"/>
  <pivotFields count="17">
    <pivotField showAll="0"/>
    <pivotField showAll="0"/>
    <pivotField numFmtId="14" showAll="0"/>
    <pivotField showAll="0"/>
    <pivotField showAll="0"/>
    <pivotField showAll="0"/>
    <pivotField dataField="1" showAll="0"/>
    <pivotField showAll="0"/>
    <pivotField axis="axisRow" showAll="0">
      <items count="7">
        <item m="1" x="3"/>
        <item m="1" x="4"/>
        <item m="1" x="5"/>
        <item m="1" x="2"/>
        <item x="0"/>
        <item x="1"/>
        <item t="default"/>
      </items>
    </pivotField>
    <pivotField axis="axisRow" showAll="0">
      <items count="7">
        <item m="1" x="5"/>
        <item m="1" x="4"/>
        <item m="1" x="3"/>
        <item m="1" x="2"/>
        <item x="0"/>
        <item x="1"/>
        <item t="default"/>
      </items>
    </pivotField>
    <pivotField name="PtOverview"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3">
    <field x="8"/>
    <field x="9"/>
    <field x="10"/>
  </rowFields>
  <rowItems count="28">
    <i>
      <x v="4"/>
    </i>
    <i r="1">
      <x v="4"/>
    </i>
    <i r="2">
      <x/>
    </i>
    <i r="2">
      <x v="12"/>
    </i>
    <i r="2">
      <x v="13"/>
    </i>
    <i r="2">
      <x v="14"/>
    </i>
    <i r="2">
      <x v="15"/>
    </i>
    <i r="2">
      <x v="16"/>
    </i>
    <i r="2">
      <x v="17"/>
    </i>
    <i r="2">
      <x v="18"/>
    </i>
    <i r="1">
      <x v="5"/>
    </i>
    <i r="2">
      <x v="5"/>
    </i>
    <i r="2">
      <x v="12"/>
    </i>
    <i r="2">
      <x v="13"/>
    </i>
    <i r="2">
      <x v="14"/>
    </i>
    <i r="2">
      <x v="17"/>
    </i>
    <i r="2">
      <x v="18"/>
    </i>
    <i>
      <x v="5"/>
    </i>
    <i r="1">
      <x v="4"/>
    </i>
    <i r="2">
      <x v="6"/>
    </i>
    <i r="2">
      <x v="7"/>
    </i>
    <i r="2">
      <x v="10"/>
    </i>
    <i r="2">
      <x v="11"/>
    </i>
    <i r="1">
      <x v="5"/>
    </i>
    <i r="2">
      <x v="7"/>
    </i>
    <i r="2">
      <x v="10"/>
    </i>
    <i r="2">
      <x v="11"/>
    </i>
    <i t="grand">
      <x/>
    </i>
  </rowItems>
  <colFields count="1">
    <field x="-2"/>
  </colFields>
  <colItems count="2">
    <i>
      <x/>
    </i>
    <i i="1">
      <x v="1"/>
    </i>
  </colItems>
  <dataFields count="2">
    <dataField name="$ Sales" fld="12" baseField="9" baseItem="0" numFmtId="164"/>
    <dataField name="Quantity_" fld="6" baseField="8" baseItem="0"/>
  </dataFields>
  <formats count="3">
    <format dxfId="16">
      <pivotArea dataOnly="0" labelOnly="1" outline="0" fieldPosition="0">
        <references count="1">
          <reference field="4294967294" count="1">
            <x v="0"/>
          </reference>
        </references>
      </pivotArea>
    </format>
    <format dxfId="15">
      <pivotArea field="9" type="button" dataOnly="0" labelOnly="1" outline="0" axis="axisRow" fieldPosition="1"/>
    </format>
    <format dxfId="14">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F5AE9D-179D-4C40-AA76-C6153E8AB737}" name="PTArticle2"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AD11:AF25" firstHeaderRow="0" firstDataRow="1" firstDataCol="1"/>
  <pivotFields count="17">
    <pivotField showAll="0"/>
    <pivotField showAll="0"/>
    <pivotField numFmtId="14" showAll="0"/>
    <pivotField showAll="0"/>
    <pivotField showAll="0"/>
    <pivotField dataField="1" showAll="0"/>
    <pivotField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2" axis="axisRow" showAll="0">
      <items count="20">
        <item x="3"/>
        <item m="1" x="17"/>
        <item m="1" x="16"/>
        <item m="1" x="15"/>
        <item m="1" x="14"/>
        <item x="8"/>
        <item x="12"/>
        <item x="11"/>
        <item m="1" x="18"/>
        <item m="1" x="13"/>
        <item x="10"/>
        <item x="9"/>
        <item x="0"/>
        <item x="1"/>
        <item x="2"/>
        <item x="4"/>
        <item x="5"/>
        <item x="6"/>
        <item x="7"/>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Rejected" fld="5" baseField="10" baseItem="0"/>
    <dataField name="Rejected (%)" fld="16" baseField="10" baseItem="0" numFmtId="10"/>
  </dataFields>
  <formats count="3">
    <format dxfId="19">
      <pivotArea field="9" type="button" dataOnly="0" labelOnly="1" outline="0"/>
    </format>
    <format dxfId="18">
      <pivotArea outline="0" collapsedLevelsAreSubtotals="1" fieldPosition="0"/>
    </format>
    <format dxfId="17">
      <pivotArea outline="0" fieldPosition="0">
        <references count="1">
          <reference field="4294967294"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B4EB67-E3B6-4D2D-9FBA-4FE8C76F3BE9}" name="PTArticle1"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Z11:AB25" firstHeaderRow="0" firstDataRow="1" firstDataCol="1"/>
  <pivotFields count="17">
    <pivotField showAll="0"/>
    <pivotField showAll="0"/>
    <pivotField numFmtId="14" showAll="0"/>
    <pivotField showAll="0"/>
    <pivotField showAll="0"/>
    <pivotField showAll="0"/>
    <pivotField dataField="1"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1"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 Sales" fld="12" baseField="0" baseItem="0" numFmtId="164"/>
    <dataField name="Quantity Sold" fld="6" baseField="0" baseItem="0"/>
  </dataFields>
  <formats count="3">
    <format dxfId="22">
      <pivotArea field="9" type="button" dataOnly="0" labelOnly="1" outline="0"/>
    </format>
    <format dxfId="21">
      <pivotArea outline="0" collapsedLevelsAreSubtotals="1" fieldPosition="0"/>
    </format>
    <format dxfId="20">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2B390A10-777B-490B-9012-BF8414212D6C}" sourceName="Company Name">
  <pivotTables>
    <pivotTable tabId="7" name="PTArticle2"/>
    <pivotTable tabId="7" name="PTArticle1"/>
  </pivotTables>
  <data>
    <tabular pivotCacheId="359140356" showMissing="0">
      <items count="6">
        <i x="0" s="1"/>
        <i x="1" s="1"/>
        <i x="5" s="1" nd="1"/>
        <i x="3" s="1" nd="1"/>
        <i x="4"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5AC718AE-18BD-4D3C-800F-D76CDD1500C8}" cache="Slicer_Company_Name" caption="Slicer_company_name" showCaption="0" style="SlicerStyleLight6"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BFE545-7777-44BD-A8E5-E8ADC546DE1E}" name="TableTemp" displayName="TableTemp" ref="A1:M64" totalsRowShown="0" headerRowDxfId="9">
  <autoFilter ref="A1:M64" xr:uid="{15BFE545-7777-44BD-A8E5-E8ADC546DE1E}"/>
  <tableColumns count="13">
    <tableColumn id="1" xr3:uid="{22DF5A96-70C7-49D8-81B6-3B60D31E761E}" name="Company ID" dataDxfId="8"/>
    <tableColumn id="2" xr3:uid="{2CCC3BF7-6FF5-4A4B-B468-1DBD6A499D6E}" name="Sales Document"/>
    <tableColumn id="3" xr3:uid="{05A70354-D3AE-4E60-B9C3-CA8CFDA0E905}" name="Document Date" dataDxfId="0"/>
    <tableColumn id="4" xr3:uid="{60DC9618-AB2D-42A6-A812-0CA07241B5F6}" name="Customer code"/>
    <tableColumn id="5" xr3:uid="{87362BD6-C634-4081-9AD1-55A194BA1C23}" name="Article code"/>
    <tableColumn id="6" xr3:uid="{514A81E6-2910-4DB4-9CA2-A074AA0F01EB}" name="Reject"/>
    <tableColumn id="7" xr3:uid="{2B396A58-8E36-4B28-B7FC-3D19A8AA5865}" name="Quantity"/>
    <tableColumn id="8" xr3:uid="{8EFBC68F-70C3-4338-B98E-4CB62D3F5DB6}" name="Sales Local Currency"/>
    <tableColumn id="9" xr3:uid="{F5FDD791-4C6A-4092-931E-E14D8FED8113}" name="Company Name" dataDxfId="7">
      <calculatedColumnFormula>VLOOKUP(TableTemp[[#This Row],[Company ID]],MCompany[],2,FALSE)</calculatedColumnFormula>
    </tableColumn>
    <tableColumn id="10" xr3:uid="{A61A959D-8A42-444E-94E4-D72975F615A2}" name="Customer Name" dataDxfId="6">
      <calculatedColumnFormula>VLOOKUP(TableTemp[[#This Row],[Customer code]],MCustomer[],2,FALSE)</calculatedColumnFormula>
    </tableColumn>
    <tableColumn id="11" xr3:uid="{7E5914F0-C4BA-4D95-9FAD-0A6A1548E5F0}" name="Article Description" dataDxfId="5">
      <calculatedColumnFormula>VLOOKUP(TableTemp[[#This Row],[Article code]],MArticle[],2,FALSE)</calculatedColumnFormula>
    </tableColumn>
    <tableColumn id="13" xr3:uid="{9FE77235-D4A6-4CAE-ABCB-E91F1516C44C}" name="Currency" dataDxfId="4">
      <calculatedColumnFormula>VLOOKUP(TableTemp[[#This Row],[Company ID]],MCompany[],3,FALSE)</calculatedColumnFormula>
    </tableColumn>
    <tableColumn id="12" xr3:uid="{6A76BC90-5009-422B-BAD5-BD55B9311996}" name="Sales US Dollar" dataDxfId="3">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2">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1"/>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49"/>
  <sheetViews>
    <sheetView showGridLines="0" tabSelected="1" zoomScale="110" zoomScaleNormal="110" workbookViewId="0">
      <selection activeCell="I22" sqref="I22"/>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1:17" ht="28.9" customHeight="1" x14ac:dyDescent="0.2">
      <c r="A1" s="19"/>
      <c r="B1" s="19"/>
      <c r="C1" s="19"/>
      <c r="D1" s="19"/>
      <c r="E1" s="19"/>
      <c r="F1" s="19"/>
      <c r="G1" s="19"/>
      <c r="H1" s="19"/>
      <c r="I1" s="19"/>
      <c r="J1" s="19"/>
      <c r="K1" s="19"/>
      <c r="L1" s="19"/>
      <c r="M1" s="19"/>
      <c r="N1" s="19"/>
      <c r="O1" s="19"/>
      <c r="P1" s="19"/>
      <c r="Q1" s="19"/>
    </row>
    <row r="2" spans="1:17" ht="11.65" customHeight="1" x14ac:dyDescent="0.2">
      <c r="A2" s="19"/>
      <c r="B2" s="19"/>
      <c r="C2" s="19"/>
      <c r="D2" s="19"/>
      <c r="E2" s="19"/>
      <c r="F2" s="19"/>
      <c r="G2" s="19"/>
      <c r="H2" s="19"/>
      <c r="I2" s="19"/>
      <c r="J2" s="19"/>
      <c r="K2" s="19"/>
      <c r="L2" s="19"/>
      <c r="M2" s="19"/>
      <c r="N2" s="19"/>
      <c r="O2" s="19"/>
      <c r="P2" s="19"/>
      <c r="Q2" s="19"/>
    </row>
    <row r="3" spans="1:17" x14ac:dyDescent="0.2">
      <c r="A3" s="19"/>
      <c r="B3" s="19"/>
      <c r="C3" s="19"/>
      <c r="D3" s="19"/>
      <c r="E3" s="19"/>
      <c r="F3" s="19"/>
      <c r="G3" s="19"/>
      <c r="H3" s="19"/>
      <c r="I3" s="19"/>
      <c r="J3" s="19"/>
      <c r="K3" s="19"/>
      <c r="L3" s="19"/>
      <c r="M3" s="19"/>
      <c r="N3" s="19"/>
      <c r="O3" s="19"/>
      <c r="P3" s="19"/>
      <c r="Q3" s="19"/>
    </row>
    <row r="4" spans="1:17" x14ac:dyDescent="0.2">
      <c r="A4" s="19"/>
      <c r="B4" s="19"/>
      <c r="C4" s="19"/>
      <c r="D4" s="19"/>
      <c r="E4" s="19"/>
      <c r="F4" s="19"/>
      <c r="G4" s="19"/>
      <c r="H4" s="19"/>
      <c r="I4" s="19"/>
      <c r="J4" s="19"/>
      <c r="K4" s="19"/>
      <c r="L4" s="19"/>
      <c r="M4" s="19"/>
      <c r="N4" s="19"/>
      <c r="O4" s="19"/>
      <c r="P4" s="19"/>
      <c r="Q4" s="19"/>
    </row>
    <row r="5" spans="1:17" x14ac:dyDescent="0.2">
      <c r="A5" s="19"/>
      <c r="B5" s="19"/>
      <c r="C5" s="19"/>
      <c r="D5" s="19"/>
      <c r="E5" s="19"/>
      <c r="F5" s="19"/>
      <c r="G5" s="19"/>
      <c r="H5" s="19"/>
      <c r="I5" s="19"/>
      <c r="J5" s="19"/>
      <c r="K5" s="19"/>
      <c r="L5" s="19"/>
      <c r="M5" s="19"/>
      <c r="N5" s="19"/>
      <c r="O5" s="19"/>
      <c r="P5" s="19"/>
      <c r="Q5" s="19"/>
    </row>
    <row r="6" spans="1:17" x14ac:dyDescent="0.2">
      <c r="A6" s="19"/>
      <c r="B6" s="19"/>
      <c r="C6" s="19"/>
      <c r="D6" s="19"/>
      <c r="E6" s="19"/>
      <c r="F6" s="19"/>
      <c r="G6" s="19"/>
      <c r="H6" s="19"/>
      <c r="I6" s="19"/>
      <c r="J6" s="19"/>
      <c r="K6" s="19"/>
      <c r="L6" s="19"/>
      <c r="M6" s="19"/>
      <c r="N6" s="19"/>
      <c r="O6" s="19"/>
      <c r="P6" s="19"/>
      <c r="Q6" s="19"/>
    </row>
    <row r="7" spans="1:17" x14ac:dyDescent="0.2">
      <c r="A7" s="19"/>
      <c r="B7" s="19"/>
      <c r="C7" s="19"/>
      <c r="D7" s="19"/>
      <c r="E7" s="19"/>
      <c r="F7" s="19"/>
      <c r="G7" s="19"/>
      <c r="H7" s="19"/>
      <c r="I7" s="19"/>
      <c r="J7" s="19"/>
      <c r="K7" s="19"/>
      <c r="L7" s="19"/>
      <c r="M7" s="19"/>
      <c r="N7" s="19"/>
      <c r="O7" s="19"/>
      <c r="P7" s="19"/>
      <c r="Q7" s="19"/>
    </row>
    <row r="8" spans="1:17" x14ac:dyDescent="0.2">
      <c r="A8" s="19"/>
      <c r="B8" s="19"/>
      <c r="C8" s="19"/>
      <c r="D8" s="19"/>
      <c r="E8" s="19"/>
      <c r="F8" s="19"/>
      <c r="G8" s="19"/>
      <c r="H8" s="19"/>
      <c r="I8" s="19"/>
      <c r="J8" s="19"/>
      <c r="K8" s="19"/>
      <c r="L8" s="19"/>
      <c r="M8" s="19"/>
      <c r="N8" s="19"/>
      <c r="O8" s="19"/>
      <c r="P8" s="19"/>
      <c r="Q8" s="19"/>
    </row>
    <row r="9" spans="1:17" x14ac:dyDescent="0.2">
      <c r="A9" s="19"/>
      <c r="B9" s="19"/>
      <c r="C9" s="19"/>
      <c r="D9" s="19"/>
      <c r="E9" s="19"/>
      <c r="F9" s="19"/>
      <c r="G9" s="19"/>
      <c r="H9" s="19"/>
      <c r="I9" s="19"/>
      <c r="J9" s="19"/>
      <c r="K9" s="19"/>
      <c r="L9" s="19"/>
      <c r="M9" s="19"/>
      <c r="N9" s="19"/>
      <c r="O9" s="19"/>
      <c r="P9" s="19"/>
      <c r="Q9" s="19"/>
    </row>
    <row r="10" spans="1:17" x14ac:dyDescent="0.2">
      <c r="A10" s="19"/>
      <c r="B10" s="19"/>
      <c r="C10" s="19"/>
      <c r="D10" s="19"/>
      <c r="E10" s="19"/>
      <c r="F10" s="19"/>
      <c r="G10" s="19"/>
      <c r="H10" s="19"/>
      <c r="I10" s="19"/>
      <c r="J10" s="19"/>
      <c r="K10" s="19"/>
      <c r="L10" s="19"/>
      <c r="M10" s="19"/>
      <c r="N10" s="19"/>
      <c r="O10" s="19"/>
      <c r="P10" s="19"/>
      <c r="Q10" s="19"/>
    </row>
    <row r="11" spans="1:17" x14ac:dyDescent="0.2">
      <c r="A11" s="19"/>
      <c r="B11" s="19"/>
      <c r="C11" s="19"/>
      <c r="D11" s="19"/>
      <c r="E11" s="19"/>
      <c r="F11" s="19"/>
      <c r="G11" s="19"/>
      <c r="H11" s="19"/>
      <c r="I11" s="19"/>
      <c r="J11" s="19"/>
      <c r="K11" s="19"/>
      <c r="L11" s="19"/>
      <c r="M11" s="19"/>
      <c r="N11" s="19"/>
      <c r="O11" s="19"/>
      <c r="P11" s="19"/>
      <c r="Q11" s="19"/>
    </row>
    <row r="12" spans="1:17" x14ac:dyDescent="0.2">
      <c r="A12" s="19"/>
      <c r="B12" s="19"/>
      <c r="C12" s="19"/>
      <c r="D12" s="19"/>
      <c r="E12" s="19"/>
      <c r="F12" s="19"/>
      <c r="G12" s="19"/>
      <c r="H12" s="20"/>
      <c r="I12" s="19"/>
      <c r="J12" s="19"/>
      <c r="K12" s="19"/>
      <c r="L12" s="19"/>
      <c r="M12" s="19"/>
      <c r="N12" s="19"/>
      <c r="O12" s="19"/>
      <c r="P12" s="19"/>
      <c r="Q12" s="19"/>
    </row>
    <row r="13" spans="1:17" ht="13.5" thickBot="1" x14ac:dyDescent="0.25">
      <c r="A13" s="19"/>
      <c r="B13" s="22" t="s">
        <v>78</v>
      </c>
      <c r="C13" s="21"/>
      <c r="D13" s="21"/>
      <c r="E13" s="21"/>
      <c r="F13" s="21"/>
      <c r="G13" s="21"/>
      <c r="H13" s="19"/>
      <c r="I13" s="19"/>
      <c r="J13" s="19"/>
      <c r="K13" s="19"/>
      <c r="L13" s="19"/>
      <c r="M13" s="19"/>
      <c r="N13" s="19"/>
      <c r="O13" s="19"/>
      <c r="P13" s="19"/>
      <c r="Q13" s="19"/>
    </row>
    <row r="14" spans="1:17" x14ac:dyDescent="0.2">
      <c r="A14" s="19"/>
      <c r="B14" s="19"/>
      <c r="C14" s="19"/>
      <c r="D14" s="19"/>
      <c r="E14" s="19"/>
      <c r="F14" s="19"/>
      <c r="G14" s="19"/>
      <c r="H14" s="19"/>
      <c r="I14" s="19"/>
      <c r="J14" s="19"/>
      <c r="K14" s="19"/>
      <c r="L14" s="19"/>
      <c r="M14" s="19"/>
      <c r="N14" s="19"/>
      <c r="O14" s="19"/>
      <c r="P14" s="19"/>
      <c r="Q14" s="19"/>
    </row>
    <row r="15" spans="1:17" x14ac:dyDescent="0.2">
      <c r="A15" s="19"/>
      <c r="B15" s="19"/>
      <c r="C15" s="19"/>
      <c r="D15" s="19"/>
      <c r="E15" s="19"/>
      <c r="F15" s="19"/>
      <c r="G15" s="19"/>
      <c r="H15" s="19"/>
      <c r="I15" s="19"/>
      <c r="J15" s="19"/>
      <c r="K15" s="19"/>
      <c r="L15" s="19"/>
      <c r="M15" s="19"/>
      <c r="N15" s="19"/>
      <c r="O15" s="19"/>
      <c r="P15" s="19"/>
      <c r="Q15" s="19"/>
    </row>
    <row r="16" spans="1:17" x14ac:dyDescent="0.2">
      <c r="A16" s="19"/>
      <c r="B16" s="19"/>
      <c r="C16" s="19"/>
      <c r="D16" s="19"/>
      <c r="E16" s="19"/>
      <c r="F16" s="19"/>
      <c r="G16" s="19"/>
      <c r="H16" s="19"/>
      <c r="I16" s="19"/>
      <c r="J16" s="19"/>
      <c r="K16" s="19"/>
      <c r="L16" s="19"/>
      <c r="M16" s="19"/>
      <c r="N16" s="19"/>
      <c r="O16" s="19"/>
      <c r="P16" s="19"/>
      <c r="Q16" s="19"/>
    </row>
    <row r="17" spans="1:17" x14ac:dyDescent="0.2">
      <c r="A17" s="19"/>
      <c r="B17" s="19"/>
      <c r="C17" s="19"/>
      <c r="D17" s="19"/>
      <c r="E17" s="19"/>
      <c r="F17" s="19"/>
      <c r="G17" s="19"/>
      <c r="H17" s="19"/>
      <c r="I17" s="19"/>
      <c r="J17" s="19"/>
      <c r="K17" s="19"/>
      <c r="L17" s="19"/>
      <c r="M17" s="19"/>
      <c r="N17" s="19"/>
      <c r="O17" s="19"/>
      <c r="P17" s="19"/>
      <c r="Q17" s="19"/>
    </row>
    <row r="18" spans="1:17" x14ac:dyDescent="0.2">
      <c r="A18" s="19"/>
      <c r="B18" s="19"/>
      <c r="C18" s="19"/>
      <c r="D18" s="19"/>
      <c r="E18" s="19"/>
      <c r="F18" s="19"/>
      <c r="G18" s="19"/>
      <c r="H18" s="19"/>
      <c r="I18" s="19"/>
      <c r="J18" s="19"/>
      <c r="K18" s="19"/>
      <c r="L18" s="19"/>
      <c r="M18" s="19"/>
      <c r="N18" s="19"/>
      <c r="O18" s="19"/>
      <c r="P18" s="19"/>
      <c r="Q18" s="19"/>
    </row>
    <row r="19" spans="1:17" x14ac:dyDescent="0.2">
      <c r="A19" s="19"/>
      <c r="B19" s="19"/>
      <c r="C19" s="19"/>
      <c r="D19" s="19"/>
      <c r="E19" s="19"/>
      <c r="F19" s="19"/>
      <c r="G19" s="19"/>
      <c r="H19" s="19"/>
      <c r="I19" s="19"/>
      <c r="J19" s="19"/>
      <c r="K19" s="19"/>
      <c r="L19" s="19"/>
      <c r="M19" s="19"/>
      <c r="N19" s="19"/>
      <c r="O19" s="19"/>
      <c r="P19" s="19"/>
      <c r="Q19" s="19"/>
    </row>
    <row r="20" spans="1:17" x14ac:dyDescent="0.2">
      <c r="A20" s="19"/>
      <c r="B20" s="19"/>
      <c r="C20" s="19"/>
      <c r="D20" s="19"/>
      <c r="E20" s="19"/>
      <c r="F20" s="19"/>
      <c r="G20" s="19"/>
      <c r="H20" s="19"/>
      <c r="I20" s="19"/>
      <c r="J20" s="19"/>
      <c r="K20" s="19"/>
      <c r="L20" s="19"/>
      <c r="M20" s="19"/>
      <c r="N20" s="19"/>
      <c r="O20" s="19"/>
      <c r="P20" s="19"/>
      <c r="Q20" s="19"/>
    </row>
    <row r="21" spans="1:17" x14ac:dyDescent="0.2">
      <c r="A21" s="19"/>
      <c r="B21" s="19"/>
      <c r="C21" s="19"/>
      <c r="D21" s="19"/>
      <c r="E21" s="19"/>
      <c r="F21" s="19"/>
      <c r="G21" s="19"/>
      <c r="H21" s="19"/>
      <c r="I21" s="19"/>
      <c r="J21" s="19"/>
      <c r="K21" s="19"/>
      <c r="L21" s="19"/>
      <c r="M21" s="19"/>
      <c r="N21" s="19"/>
      <c r="O21" s="19"/>
      <c r="P21" s="19"/>
      <c r="Q21" s="19"/>
    </row>
    <row r="22" spans="1:17" x14ac:dyDescent="0.2">
      <c r="A22" s="19"/>
      <c r="B22" s="19"/>
      <c r="C22" s="19"/>
      <c r="D22" s="19"/>
      <c r="E22" s="19"/>
      <c r="F22" s="19"/>
      <c r="G22" s="19"/>
      <c r="H22" s="19"/>
      <c r="I22" s="19"/>
      <c r="J22" s="19"/>
      <c r="K22" s="19"/>
      <c r="L22" s="19"/>
      <c r="M22" s="19"/>
      <c r="N22" s="19"/>
      <c r="O22" s="19"/>
      <c r="P22" s="19"/>
      <c r="Q22" s="19"/>
    </row>
    <row r="23" spans="1:17" x14ac:dyDescent="0.2">
      <c r="A23" s="19"/>
      <c r="B23" s="19"/>
      <c r="C23" s="19"/>
      <c r="D23" s="19"/>
      <c r="E23" s="19"/>
      <c r="F23" s="19"/>
      <c r="G23" s="19"/>
      <c r="H23" s="19"/>
      <c r="I23" s="19"/>
      <c r="J23" s="19"/>
      <c r="K23" s="19"/>
      <c r="L23" s="19"/>
      <c r="M23" s="19"/>
      <c r="N23" s="19"/>
      <c r="O23" s="19"/>
      <c r="P23" s="19"/>
      <c r="Q23" s="19"/>
    </row>
    <row r="24" spans="1:17" x14ac:dyDescent="0.2">
      <c r="A24" s="19"/>
      <c r="B24" s="19"/>
      <c r="C24" s="19"/>
      <c r="D24" s="19"/>
      <c r="E24" s="19"/>
      <c r="F24" s="19"/>
      <c r="G24" s="19"/>
      <c r="H24" s="19"/>
      <c r="I24" s="19"/>
      <c r="J24" s="19"/>
      <c r="K24" s="19"/>
      <c r="L24" s="19"/>
      <c r="M24" s="19"/>
      <c r="N24" s="19"/>
      <c r="O24" s="19"/>
      <c r="P24" s="19"/>
      <c r="Q24" s="19"/>
    </row>
    <row r="25" spans="1:17" x14ac:dyDescent="0.2">
      <c r="A25" s="19"/>
      <c r="B25" s="19"/>
      <c r="C25" s="19"/>
      <c r="D25" s="19"/>
      <c r="E25" s="19"/>
      <c r="F25" s="19"/>
      <c r="G25" s="19"/>
      <c r="H25" s="19"/>
      <c r="I25" s="19"/>
      <c r="J25" s="19"/>
      <c r="K25" s="19"/>
      <c r="L25" s="19"/>
      <c r="M25" s="19"/>
      <c r="N25" s="19"/>
      <c r="O25" s="19"/>
      <c r="P25" s="19"/>
      <c r="Q25" s="19"/>
    </row>
    <row r="26" spans="1:17" x14ac:dyDescent="0.2">
      <c r="A26" s="19"/>
      <c r="B26" s="19"/>
      <c r="C26" s="19"/>
      <c r="D26" s="19"/>
      <c r="E26" s="19"/>
      <c r="F26" s="19"/>
      <c r="G26" s="19"/>
      <c r="H26" s="19"/>
      <c r="I26" s="19"/>
      <c r="J26" s="19"/>
      <c r="K26" s="19"/>
      <c r="L26" s="19"/>
      <c r="M26" s="19"/>
      <c r="N26" s="19"/>
      <c r="O26" s="19"/>
      <c r="P26" s="19"/>
      <c r="Q26" s="19"/>
    </row>
    <row r="27" spans="1:17" x14ac:dyDescent="0.2">
      <c r="A27" s="19"/>
      <c r="B27" s="19"/>
      <c r="C27" s="19"/>
      <c r="D27" s="19"/>
      <c r="E27" s="19"/>
      <c r="F27" s="19"/>
      <c r="G27" s="19"/>
      <c r="H27" s="19"/>
      <c r="I27" s="19"/>
      <c r="J27" s="19"/>
      <c r="K27" s="19"/>
      <c r="L27" s="19"/>
      <c r="M27" s="19"/>
      <c r="N27" s="19"/>
      <c r="O27" s="19"/>
      <c r="P27" s="19"/>
      <c r="Q27" s="19"/>
    </row>
    <row r="28" spans="1:17" x14ac:dyDescent="0.2">
      <c r="A28" s="19"/>
      <c r="B28" s="19"/>
      <c r="C28" s="19"/>
      <c r="D28" s="19"/>
      <c r="E28" s="19"/>
      <c r="F28" s="19"/>
      <c r="G28" s="19"/>
      <c r="H28" s="19"/>
      <c r="I28" s="19"/>
      <c r="J28" s="19"/>
      <c r="K28" s="19"/>
      <c r="L28" s="19"/>
      <c r="M28" s="19"/>
      <c r="N28" s="19"/>
      <c r="O28" s="19"/>
      <c r="P28" s="19"/>
      <c r="Q28" s="19"/>
    </row>
    <row r="29" spans="1:17" x14ac:dyDescent="0.2">
      <c r="A29" s="19"/>
      <c r="B29" s="19"/>
      <c r="C29" s="19"/>
      <c r="D29" s="19"/>
      <c r="E29" s="19"/>
      <c r="F29" s="19"/>
      <c r="G29" s="19"/>
      <c r="H29" s="19"/>
      <c r="I29" s="19"/>
      <c r="J29" s="19"/>
      <c r="K29" s="19"/>
      <c r="L29" s="19"/>
      <c r="M29" s="19"/>
      <c r="N29" s="19"/>
      <c r="O29" s="19"/>
      <c r="P29" s="19"/>
      <c r="Q29" s="19"/>
    </row>
    <row r="30" spans="1:17" x14ac:dyDescent="0.2">
      <c r="A30" s="19"/>
      <c r="B30" s="19"/>
      <c r="C30" s="19"/>
      <c r="D30" s="19"/>
      <c r="E30" s="19"/>
      <c r="F30" s="19"/>
      <c r="G30" s="19"/>
      <c r="H30" s="19"/>
      <c r="I30" s="19"/>
      <c r="J30" s="19"/>
      <c r="K30" s="19"/>
      <c r="L30" s="19"/>
      <c r="M30" s="19"/>
      <c r="N30" s="19"/>
      <c r="O30" s="19"/>
      <c r="P30" s="19"/>
      <c r="Q30" s="19"/>
    </row>
    <row r="31" spans="1:17" x14ac:dyDescent="0.2">
      <c r="A31" s="19"/>
      <c r="B31" s="19"/>
      <c r="C31" s="19"/>
      <c r="D31" s="19"/>
      <c r="E31" s="19"/>
      <c r="F31" s="19"/>
      <c r="G31" s="19"/>
      <c r="H31" s="19"/>
      <c r="I31" s="19"/>
      <c r="J31" s="19"/>
      <c r="K31" s="19"/>
      <c r="L31" s="19"/>
      <c r="M31" s="19"/>
      <c r="N31" s="19"/>
      <c r="O31" s="19"/>
      <c r="P31" s="19"/>
      <c r="Q31" s="19"/>
    </row>
    <row r="32" spans="1:17" x14ac:dyDescent="0.2">
      <c r="A32" s="19"/>
      <c r="B32" s="19"/>
      <c r="C32" s="19"/>
      <c r="D32" s="19"/>
      <c r="E32" s="19"/>
      <c r="F32" s="19"/>
      <c r="G32" s="19"/>
      <c r="H32" s="19"/>
      <c r="I32" s="19"/>
      <c r="J32" s="19"/>
      <c r="K32" s="19"/>
      <c r="L32" s="19"/>
      <c r="M32" s="19"/>
      <c r="N32" s="19"/>
      <c r="O32" s="19"/>
      <c r="P32" s="19"/>
      <c r="Q32" s="19"/>
    </row>
    <row r="33" spans="1:17" x14ac:dyDescent="0.2">
      <c r="A33" s="19"/>
      <c r="B33" s="19"/>
      <c r="C33" s="19"/>
      <c r="D33" s="19"/>
      <c r="E33" s="19"/>
      <c r="F33" s="19"/>
      <c r="G33" s="19"/>
      <c r="H33" s="19"/>
      <c r="I33" s="19"/>
      <c r="J33" s="19"/>
      <c r="K33" s="19"/>
      <c r="L33" s="19"/>
      <c r="M33" s="19"/>
      <c r="N33" s="19"/>
      <c r="O33" s="19"/>
      <c r="P33" s="19"/>
      <c r="Q33" s="19"/>
    </row>
    <row r="34" spans="1:17" x14ac:dyDescent="0.2">
      <c r="A34" s="19"/>
      <c r="B34" s="19"/>
      <c r="C34" s="19"/>
      <c r="D34" s="19"/>
      <c r="E34" s="19"/>
      <c r="F34" s="19"/>
      <c r="G34" s="19"/>
      <c r="H34" s="19"/>
      <c r="I34" s="19"/>
      <c r="J34" s="19"/>
      <c r="K34" s="19"/>
      <c r="L34" s="19"/>
      <c r="M34" s="19"/>
      <c r="N34" s="19"/>
      <c r="O34" s="19"/>
      <c r="P34" s="19"/>
      <c r="Q34" s="19"/>
    </row>
    <row r="35" spans="1:17" x14ac:dyDescent="0.2">
      <c r="A35" s="19"/>
      <c r="B35" s="19"/>
      <c r="C35" s="19"/>
      <c r="D35" s="19"/>
      <c r="E35" s="19"/>
      <c r="F35" s="19"/>
      <c r="G35" s="19"/>
      <c r="H35" s="19"/>
      <c r="I35" s="19"/>
      <c r="J35" s="19"/>
      <c r="K35" s="19"/>
      <c r="L35" s="19"/>
      <c r="M35" s="19"/>
      <c r="N35" s="19"/>
      <c r="O35" s="19"/>
      <c r="P35" s="19"/>
      <c r="Q35" s="19"/>
    </row>
    <row r="36" spans="1:17" x14ac:dyDescent="0.2">
      <c r="A36" s="19"/>
      <c r="B36" s="19"/>
      <c r="C36" s="19"/>
      <c r="D36" s="19"/>
      <c r="E36" s="19"/>
      <c r="F36" s="19"/>
      <c r="G36" s="19"/>
      <c r="H36" s="19"/>
      <c r="I36" s="19"/>
      <c r="J36" s="19"/>
      <c r="K36" s="19"/>
      <c r="L36" s="19"/>
      <c r="M36" s="19"/>
      <c r="N36" s="19"/>
      <c r="O36" s="19"/>
      <c r="P36" s="19"/>
      <c r="Q36" s="19"/>
    </row>
    <row r="49" spans="1:17" x14ac:dyDescent="0.2">
      <c r="A49" s="19"/>
      <c r="B49" s="19"/>
      <c r="C49" s="19"/>
      <c r="D49" s="19"/>
      <c r="E49" s="19"/>
      <c r="F49" s="19"/>
      <c r="G49" s="19"/>
      <c r="H49" s="19"/>
      <c r="I49" s="19"/>
      <c r="J49" s="19"/>
      <c r="K49" s="19"/>
      <c r="L49" s="19"/>
      <c r="M49" s="19"/>
      <c r="N49" s="19"/>
      <c r="O49" s="19"/>
      <c r="P49" s="19"/>
      <c r="Q49" s="19"/>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axRegion">
          <controlPr defaultSize="0" autoLine="0" listFillRange="MRegion" r:id="rId5">
            <anchor moveWithCells="1">
              <from>
                <xdr:col>5</xdr:col>
                <xdr:colOff>190500</xdr:colOff>
                <xdr:row>6</xdr:row>
                <xdr:rowOff>104775</xdr:rowOff>
              </from>
              <to>
                <xdr:col>6</xdr:col>
                <xdr:colOff>714375</xdr:colOff>
                <xdr:row>8</xdr:row>
                <xdr:rowOff>9525</xdr:rowOff>
              </to>
            </anchor>
          </controlPr>
        </control>
      </mc:Choice>
      <mc:Fallback>
        <control shapeId="1025"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749"/>
  <sheetViews>
    <sheetView workbookViewId="0">
      <selection activeCell="H100" sqref="H100:H141"/>
    </sheetView>
  </sheetViews>
  <sheetFormatPr defaultColWidth="9.140625" defaultRowHeight="12.75" x14ac:dyDescent="0.2"/>
  <cols>
    <col min="1" max="1" width="13.5703125" style="7" customWidth="1"/>
    <col min="2" max="8" width="16" style="7" customWidth="1"/>
    <col min="9" max="16384" width="9.140625" style="7"/>
  </cols>
  <sheetData>
    <row r="1" spans="1:8" x14ac:dyDescent="0.2">
      <c r="A1" s="8" t="s">
        <v>39</v>
      </c>
      <c r="B1" s="8" t="s">
        <v>2</v>
      </c>
      <c r="C1" s="8" t="s">
        <v>40</v>
      </c>
      <c r="D1" s="8" t="s">
        <v>49</v>
      </c>
      <c r="E1" s="8" t="s">
        <v>52</v>
      </c>
      <c r="F1" s="8" t="s">
        <v>43</v>
      </c>
      <c r="G1" s="8" t="s">
        <v>41</v>
      </c>
      <c r="H1" s="8" t="s">
        <v>42</v>
      </c>
    </row>
    <row r="2" spans="1:8" x14ac:dyDescent="0.2">
      <c r="A2"/>
      <c r="B2"/>
      <c r="C2"/>
      <c r="D2"/>
      <c r="E2"/>
      <c r="F2"/>
      <c r="G2"/>
      <c r="H2"/>
    </row>
    <row r="3" spans="1:8" x14ac:dyDescent="0.2">
      <c r="A3"/>
      <c r="B3"/>
      <c r="C3"/>
      <c r="D3"/>
      <c r="E3"/>
      <c r="F3"/>
      <c r="G3"/>
      <c r="H3"/>
    </row>
    <row r="4" spans="1:8" x14ac:dyDescent="0.2">
      <c r="A4"/>
      <c r="B4"/>
      <c r="C4"/>
      <c r="D4"/>
      <c r="E4"/>
      <c r="F4"/>
      <c r="G4"/>
      <c r="H4"/>
    </row>
    <row r="5" spans="1:8" x14ac:dyDescent="0.2">
      <c r="A5"/>
      <c r="B5"/>
      <c r="C5"/>
      <c r="D5"/>
      <c r="E5"/>
      <c r="F5"/>
      <c r="G5"/>
      <c r="H5"/>
    </row>
    <row r="6" spans="1:8" x14ac:dyDescent="0.2">
      <c r="A6"/>
      <c r="B6"/>
      <c r="C6"/>
      <c r="D6"/>
      <c r="E6"/>
      <c r="F6"/>
      <c r="G6"/>
      <c r="H6"/>
    </row>
    <row r="7" spans="1:8" x14ac:dyDescent="0.2">
      <c r="A7"/>
      <c r="B7"/>
      <c r="C7"/>
      <c r="D7"/>
      <c r="E7"/>
      <c r="F7"/>
      <c r="G7"/>
      <c r="H7"/>
    </row>
    <row r="8" spans="1:8" x14ac:dyDescent="0.2">
      <c r="A8"/>
      <c r="B8"/>
      <c r="C8"/>
      <c r="D8"/>
      <c r="E8"/>
      <c r="F8"/>
      <c r="G8"/>
      <c r="H8"/>
    </row>
    <row r="9" spans="1:8" x14ac:dyDescent="0.2">
      <c r="A9"/>
      <c r="B9"/>
      <c r="C9"/>
      <c r="D9"/>
      <c r="E9"/>
      <c r="F9"/>
      <c r="G9"/>
      <c r="H9"/>
    </row>
    <row r="10" spans="1:8" x14ac:dyDescent="0.2">
      <c r="A10"/>
      <c r="B10"/>
      <c r="C10"/>
      <c r="D10"/>
      <c r="E10"/>
      <c r="F10"/>
      <c r="G10"/>
      <c r="H10"/>
    </row>
    <row r="11" spans="1:8" x14ac:dyDescent="0.2">
      <c r="A11"/>
      <c r="B11"/>
      <c r="C11"/>
      <c r="D11"/>
      <c r="E11"/>
      <c r="F11"/>
      <c r="G11"/>
      <c r="H11"/>
    </row>
    <row r="12" spans="1:8" x14ac:dyDescent="0.2">
      <c r="A12"/>
      <c r="B12"/>
      <c r="C12"/>
      <c r="D12"/>
      <c r="E12"/>
      <c r="F12"/>
      <c r="G12"/>
      <c r="H12"/>
    </row>
    <row r="13" spans="1:8" x14ac:dyDescent="0.2">
      <c r="A13"/>
      <c r="B13"/>
      <c r="C13"/>
      <c r="D13"/>
      <c r="E13"/>
      <c r="F13"/>
      <c r="G13"/>
      <c r="H13"/>
    </row>
    <row r="14" spans="1:8" x14ac:dyDescent="0.2">
      <c r="A14"/>
      <c r="B14"/>
      <c r="C14"/>
      <c r="D14"/>
      <c r="E14"/>
      <c r="F14"/>
      <c r="G14"/>
      <c r="H14"/>
    </row>
    <row r="15" spans="1:8" x14ac:dyDescent="0.2">
      <c r="A15"/>
      <c r="B15"/>
      <c r="C15"/>
      <c r="D15"/>
      <c r="E15"/>
      <c r="F15"/>
      <c r="G15"/>
      <c r="H15"/>
    </row>
    <row r="16" spans="1:8" x14ac:dyDescent="0.2">
      <c r="A16"/>
      <c r="B16"/>
      <c r="C16"/>
      <c r="D16"/>
      <c r="E16"/>
      <c r="F16"/>
      <c r="G16"/>
      <c r="H16"/>
    </row>
    <row r="17" spans="1:8" x14ac:dyDescent="0.2">
      <c r="A17"/>
      <c r="B17"/>
      <c r="C17"/>
      <c r="D17"/>
      <c r="E17"/>
      <c r="F17"/>
      <c r="G17"/>
      <c r="H17"/>
    </row>
    <row r="18" spans="1:8" x14ac:dyDescent="0.2">
      <c r="A18"/>
      <c r="B18"/>
      <c r="C18"/>
      <c r="D18"/>
      <c r="E18"/>
      <c r="F18"/>
      <c r="G18"/>
      <c r="H18"/>
    </row>
    <row r="19" spans="1:8" x14ac:dyDescent="0.2">
      <c r="A19"/>
      <c r="B19"/>
      <c r="C19"/>
      <c r="D19"/>
      <c r="E19"/>
      <c r="F19"/>
      <c r="G19"/>
      <c r="H19"/>
    </row>
    <row r="20" spans="1:8" x14ac:dyDescent="0.2">
      <c r="A20"/>
      <c r="B20"/>
      <c r="C20"/>
      <c r="D20"/>
      <c r="E20"/>
      <c r="F20"/>
      <c r="G20"/>
      <c r="H20"/>
    </row>
    <row r="21" spans="1:8" x14ac:dyDescent="0.2">
      <c r="A21"/>
      <c r="B21"/>
      <c r="C21"/>
      <c r="D21"/>
      <c r="E21"/>
      <c r="F21"/>
      <c r="G21"/>
      <c r="H21"/>
    </row>
    <row r="22" spans="1:8" x14ac:dyDescent="0.2">
      <c r="A22"/>
      <c r="B22"/>
      <c r="C22"/>
      <c r="D22"/>
      <c r="E22"/>
      <c r="F22"/>
      <c r="G22"/>
      <c r="H22"/>
    </row>
    <row r="23" spans="1:8" x14ac:dyDescent="0.2">
      <c r="A23"/>
      <c r="B23"/>
      <c r="C23"/>
      <c r="D23"/>
      <c r="E23"/>
      <c r="F23"/>
      <c r="G23"/>
      <c r="H23"/>
    </row>
    <row r="24" spans="1:8" x14ac:dyDescent="0.2">
      <c r="A24"/>
      <c r="B24"/>
      <c r="C24"/>
      <c r="D24"/>
      <c r="E24"/>
      <c r="F24"/>
      <c r="G24"/>
      <c r="H24"/>
    </row>
    <row r="25" spans="1:8" x14ac:dyDescent="0.2">
      <c r="A25"/>
      <c r="B25"/>
      <c r="C25"/>
      <c r="D25"/>
      <c r="E25"/>
      <c r="F25"/>
      <c r="G25"/>
      <c r="H25"/>
    </row>
    <row r="26" spans="1:8" x14ac:dyDescent="0.2">
      <c r="A26"/>
      <c r="B26"/>
      <c r="C26"/>
      <c r="D26"/>
      <c r="E26"/>
      <c r="F26"/>
      <c r="G26"/>
      <c r="H26"/>
    </row>
    <row r="27" spans="1:8" x14ac:dyDescent="0.2">
      <c r="A27"/>
      <c r="B27"/>
      <c r="C27"/>
      <c r="D27"/>
      <c r="E27"/>
      <c r="F27"/>
      <c r="G27"/>
      <c r="H27"/>
    </row>
    <row r="28" spans="1:8" x14ac:dyDescent="0.2">
      <c r="A28"/>
      <c r="B28"/>
      <c r="C28"/>
      <c r="D28"/>
      <c r="E28"/>
      <c r="F28"/>
      <c r="G28"/>
      <c r="H28"/>
    </row>
    <row r="29" spans="1:8" x14ac:dyDescent="0.2">
      <c r="A29"/>
      <c r="B29"/>
      <c r="C29"/>
      <c r="D29"/>
      <c r="E29"/>
      <c r="F29"/>
      <c r="G29"/>
      <c r="H29"/>
    </row>
    <row r="30" spans="1:8" x14ac:dyDescent="0.2">
      <c r="A30"/>
      <c r="B30"/>
      <c r="C30"/>
      <c r="D30"/>
      <c r="E30"/>
      <c r="F30"/>
      <c r="G30"/>
      <c r="H30"/>
    </row>
    <row r="31" spans="1:8" x14ac:dyDescent="0.2">
      <c r="A31"/>
      <c r="B31"/>
      <c r="C31"/>
      <c r="D31"/>
      <c r="E31"/>
      <c r="F31"/>
      <c r="G31"/>
      <c r="H31"/>
    </row>
    <row r="32" spans="1:8" x14ac:dyDescent="0.2">
      <c r="A32"/>
      <c r="B32"/>
      <c r="C32"/>
      <c r="D32"/>
      <c r="E32"/>
      <c r="F32"/>
      <c r="G32"/>
      <c r="H32"/>
    </row>
    <row r="33" spans="1:8" x14ac:dyDescent="0.2">
      <c r="A33"/>
      <c r="B33"/>
      <c r="C33"/>
      <c r="D33"/>
      <c r="E33"/>
      <c r="F33"/>
      <c r="G33"/>
      <c r="H33"/>
    </row>
    <row r="34" spans="1:8" x14ac:dyDescent="0.2">
      <c r="A34"/>
      <c r="B34"/>
      <c r="C34"/>
      <c r="D34"/>
      <c r="E34"/>
      <c r="F34"/>
      <c r="G34"/>
      <c r="H34"/>
    </row>
    <row r="35" spans="1:8" x14ac:dyDescent="0.2">
      <c r="A35"/>
      <c r="B35"/>
      <c r="C35"/>
      <c r="D35"/>
      <c r="E35"/>
      <c r="F35"/>
      <c r="G35"/>
      <c r="H35"/>
    </row>
    <row r="36" spans="1:8" x14ac:dyDescent="0.2">
      <c r="A36"/>
      <c r="B36"/>
      <c r="C36"/>
      <c r="D36"/>
      <c r="E36"/>
      <c r="F36"/>
      <c r="G36"/>
      <c r="H36"/>
    </row>
    <row r="37" spans="1:8" x14ac:dyDescent="0.2">
      <c r="A37"/>
      <c r="B37"/>
      <c r="C37"/>
      <c r="D37"/>
      <c r="E37"/>
      <c r="F37"/>
      <c r="G37"/>
      <c r="H37"/>
    </row>
    <row r="38" spans="1:8" x14ac:dyDescent="0.2">
      <c r="A38"/>
      <c r="B38"/>
      <c r="C38"/>
      <c r="D38"/>
      <c r="E38"/>
      <c r="F38"/>
      <c r="G38"/>
      <c r="H38"/>
    </row>
    <row r="39" spans="1:8" x14ac:dyDescent="0.2">
      <c r="A39"/>
      <c r="B39"/>
      <c r="C39"/>
      <c r="D39"/>
      <c r="E39"/>
      <c r="F39"/>
      <c r="G39"/>
      <c r="H39"/>
    </row>
    <row r="40" spans="1:8" x14ac:dyDescent="0.2">
      <c r="A40"/>
      <c r="B40"/>
      <c r="C40"/>
      <c r="D40"/>
      <c r="E40"/>
      <c r="F40"/>
      <c r="G40"/>
      <c r="H40"/>
    </row>
    <row r="41" spans="1:8" x14ac:dyDescent="0.2">
      <c r="A41"/>
      <c r="B41"/>
      <c r="C41"/>
      <c r="D41"/>
      <c r="E41"/>
      <c r="F41"/>
      <c r="G41"/>
      <c r="H41"/>
    </row>
    <row r="42" spans="1:8" x14ac:dyDescent="0.2">
      <c r="A42"/>
      <c r="B42"/>
      <c r="C42"/>
      <c r="D42"/>
      <c r="E42"/>
      <c r="F42"/>
      <c r="G42"/>
      <c r="H42"/>
    </row>
    <row r="43" spans="1:8" x14ac:dyDescent="0.2">
      <c r="A43"/>
      <c r="B43"/>
      <c r="C43"/>
      <c r="D43"/>
      <c r="E43"/>
      <c r="F43"/>
      <c r="G43"/>
      <c r="H43"/>
    </row>
    <row r="44" spans="1:8" x14ac:dyDescent="0.2">
      <c r="A44"/>
      <c r="B44"/>
      <c r="C44"/>
      <c r="D44"/>
      <c r="E44"/>
      <c r="F44"/>
      <c r="G44"/>
      <c r="H44"/>
    </row>
    <row r="45" spans="1:8" x14ac:dyDescent="0.2">
      <c r="A45"/>
      <c r="B45"/>
      <c r="C45"/>
      <c r="D45"/>
      <c r="E45"/>
      <c r="F45"/>
      <c r="G45"/>
      <c r="H45"/>
    </row>
    <row r="46" spans="1:8" x14ac:dyDescent="0.2">
      <c r="A46"/>
      <c r="B46"/>
      <c r="C46"/>
      <c r="D46"/>
      <c r="E46"/>
      <c r="F46"/>
      <c r="G46"/>
      <c r="H46"/>
    </row>
    <row r="47" spans="1:8" x14ac:dyDescent="0.2">
      <c r="A47"/>
      <c r="B47"/>
      <c r="C47"/>
      <c r="D47"/>
      <c r="E47"/>
      <c r="F47"/>
      <c r="G47"/>
      <c r="H47"/>
    </row>
    <row r="48" spans="1:8" x14ac:dyDescent="0.2">
      <c r="A48"/>
      <c r="B48"/>
      <c r="C48"/>
      <c r="D48"/>
      <c r="E48"/>
      <c r="F48"/>
      <c r="G48"/>
      <c r="H48"/>
    </row>
    <row r="49" spans="1:8" x14ac:dyDescent="0.2">
      <c r="A49"/>
      <c r="B49"/>
      <c r="C49"/>
      <c r="D49"/>
      <c r="E49"/>
      <c r="F49"/>
      <c r="G49"/>
      <c r="H49"/>
    </row>
    <row r="50" spans="1:8" x14ac:dyDescent="0.2">
      <c r="A50"/>
      <c r="B50"/>
      <c r="C50"/>
      <c r="D50"/>
      <c r="E50"/>
      <c r="F50"/>
      <c r="G50"/>
      <c r="H50"/>
    </row>
    <row r="51" spans="1:8" x14ac:dyDescent="0.2">
      <c r="A51"/>
      <c r="B51"/>
      <c r="C51"/>
      <c r="D51"/>
      <c r="E51"/>
      <c r="F51"/>
      <c r="G51"/>
      <c r="H51"/>
    </row>
    <row r="52" spans="1:8" x14ac:dyDescent="0.2">
      <c r="A52"/>
      <c r="B52"/>
      <c r="C52"/>
      <c r="D52"/>
      <c r="E52"/>
      <c r="F52"/>
      <c r="G52"/>
      <c r="H52"/>
    </row>
    <row r="53" spans="1:8" x14ac:dyDescent="0.2">
      <c r="A53"/>
      <c r="B53"/>
      <c r="C53"/>
      <c r="D53"/>
      <c r="E53"/>
      <c r="F53"/>
      <c r="G53"/>
      <c r="H53"/>
    </row>
    <row r="54" spans="1:8" x14ac:dyDescent="0.2">
      <c r="A54"/>
      <c r="B54"/>
      <c r="C54"/>
      <c r="D54"/>
      <c r="E54"/>
      <c r="F54"/>
      <c r="G54"/>
      <c r="H54"/>
    </row>
    <row r="55" spans="1:8" x14ac:dyDescent="0.2">
      <c r="A55"/>
      <c r="B55"/>
      <c r="C55"/>
      <c r="D55"/>
      <c r="E55"/>
      <c r="F55"/>
      <c r="G55"/>
      <c r="H55"/>
    </row>
    <row r="56" spans="1:8" x14ac:dyDescent="0.2">
      <c r="A56"/>
      <c r="B56"/>
      <c r="C56"/>
      <c r="D56"/>
      <c r="E56"/>
      <c r="F56"/>
      <c r="G56"/>
      <c r="H56"/>
    </row>
    <row r="57" spans="1:8" x14ac:dyDescent="0.2">
      <c r="A57"/>
      <c r="B57"/>
      <c r="C57"/>
      <c r="D57"/>
      <c r="E57"/>
      <c r="F57"/>
      <c r="G57"/>
      <c r="H57"/>
    </row>
    <row r="58" spans="1:8" x14ac:dyDescent="0.2">
      <c r="A58"/>
      <c r="B58"/>
      <c r="C58"/>
      <c r="D58"/>
      <c r="E58"/>
      <c r="F58"/>
      <c r="G58"/>
      <c r="H58"/>
    </row>
    <row r="59" spans="1:8" x14ac:dyDescent="0.2">
      <c r="A59"/>
      <c r="B59"/>
      <c r="C59"/>
      <c r="D59"/>
      <c r="E59"/>
      <c r="F59"/>
      <c r="G59"/>
      <c r="H59"/>
    </row>
    <row r="60" spans="1:8" x14ac:dyDescent="0.2">
      <c r="A60"/>
      <c r="B60"/>
      <c r="C60"/>
      <c r="D60"/>
      <c r="E60"/>
      <c r="F60"/>
      <c r="G60"/>
      <c r="H60"/>
    </row>
    <row r="61" spans="1:8" x14ac:dyDescent="0.2">
      <c r="A61"/>
      <c r="B61"/>
      <c r="C61"/>
      <c r="D61"/>
      <c r="E61"/>
      <c r="F61"/>
      <c r="G61"/>
      <c r="H61"/>
    </row>
    <row r="62" spans="1:8" x14ac:dyDescent="0.2">
      <c r="A62"/>
      <c r="B62"/>
      <c r="C62"/>
      <c r="D62"/>
      <c r="E62"/>
      <c r="F62"/>
      <c r="G62"/>
      <c r="H62"/>
    </row>
    <row r="63" spans="1:8" x14ac:dyDescent="0.2">
      <c r="A63"/>
      <c r="B63"/>
      <c r="C63"/>
      <c r="D63"/>
      <c r="E63"/>
      <c r="F63"/>
      <c r="G63"/>
      <c r="H63"/>
    </row>
    <row r="64" spans="1:8" x14ac:dyDescent="0.2">
      <c r="A64"/>
      <c r="B64"/>
      <c r="C64"/>
      <c r="D64"/>
      <c r="E64"/>
      <c r="F64"/>
      <c r="G64"/>
      <c r="H64"/>
    </row>
    <row r="65" spans="1:8" x14ac:dyDescent="0.2">
      <c r="A65"/>
      <c r="B65"/>
      <c r="C65"/>
      <c r="D65"/>
      <c r="E65"/>
      <c r="F65"/>
      <c r="G65"/>
      <c r="H65"/>
    </row>
    <row r="66" spans="1:8" x14ac:dyDescent="0.2">
      <c r="A66"/>
      <c r="B66"/>
      <c r="C66"/>
      <c r="D66"/>
      <c r="E66"/>
      <c r="F66"/>
      <c r="G66"/>
      <c r="H66"/>
    </row>
    <row r="67" spans="1:8" x14ac:dyDescent="0.2">
      <c r="A67"/>
      <c r="B67"/>
      <c r="C67"/>
      <c r="D67"/>
      <c r="E67"/>
      <c r="F67"/>
      <c r="G67"/>
      <c r="H67"/>
    </row>
    <row r="68" spans="1:8" x14ac:dyDescent="0.2">
      <c r="A68"/>
      <c r="B68"/>
      <c r="C68"/>
      <c r="D68"/>
      <c r="E68"/>
      <c r="F68"/>
      <c r="G68"/>
      <c r="H68"/>
    </row>
    <row r="69" spans="1:8" x14ac:dyDescent="0.2">
      <c r="A69"/>
      <c r="B69"/>
      <c r="C69"/>
      <c r="D69"/>
      <c r="E69"/>
      <c r="F69"/>
      <c r="G69"/>
      <c r="H69"/>
    </row>
    <row r="70" spans="1:8" x14ac:dyDescent="0.2">
      <c r="A70"/>
      <c r="B70"/>
      <c r="C70"/>
      <c r="D70"/>
      <c r="E70"/>
      <c r="F70"/>
      <c r="G70"/>
      <c r="H70"/>
    </row>
    <row r="71" spans="1:8" x14ac:dyDescent="0.2">
      <c r="A71"/>
      <c r="B71"/>
      <c r="C71"/>
      <c r="D71"/>
      <c r="E71"/>
      <c r="F71"/>
      <c r="G71"/>
      <c r="H71"/>
    </row>
    <row r="72" spans="1:8" x14ac:dyDescent="0.2">
      <c r="A72"/>
      <c r="B72"/>
      <c r="C72"/>
      <c r="D72"/>
      <c r="E72"/>
      <c r="F72"/>
      <c r="G72"/>
      <c r="H72"/>
    </row>
    <row r="73" spans="1:8" x14ac:dyDescent="0.2">
      <c r="A73"/>
      <c r="B73"/>
      <c r="C73"/>
      <c r="D73"/>
      <c r="E73"/>
      <c r="F73"/>
      <c r="G73"/>
      <c r="H73"/>
    </row>
    <row r="74" spans="1:8" x14ac:dyDescent="0.2">
      <c r="A74"/>
      <c r="B74"/>
      <c r="C74"/>
      <c r="D74"/>
      <c r="E74"/>
      <c r="F74"/>
      <c r="G74"/>
      <c r="H74"/>
    </row>
    <row r="75" spans="1:8" x14ac:dyDescent="0.2">
      <c r="A75"/>
      <c r="B75"/>
      <c r="C75"/>
      <c r="D75"/>
      <c r="E75"/>
      <c r="F75"/>
      <c r="G75"/>
      <c r="H75"/>
    </row>
    <row r="76" spans="1:8" x14ac:dyDescent="0.2">
      <c r="A76"/>
      <c r="B76"/>
      <c r="C76"/>
      <c r="D76"/>
      <c r="E76"/>
      <c r="F76"/>
      <c r="G76"/>
      <c r="H76"/>
    </row>
    <row r="77" spans="1:8" x14ac:dyDescent="0.2">
      <c r="A77"/>
      <c r="B77"/>
      <c r="C77"/>
      <c r="D77"/>
      <c r="E77"/>
      <c r="F77"/>
      <c r="G77"/>
      <c r="H77"/>
    </row>
    <row r="78" spans="1:8" x14ac:dyDescent="0.2">
      <c r="A78"/>
      <c r="B78"/>
      <c r="C78"/>
      <c r="D78"/>
      <c r="E78"/>
      <c r="F78"/>
      <c r="G78"/>
      <c r="H78"/>
    </row>
    <row r="79" spans="1:8" x14ac:dyDescent="0.2">
      <c r="A79"/>
      <c r="B79"/>
      <c r="C79"/>
      <c r="D79"/>
      <c r="E79"/>
      <c r="F79"/>
      <c r="G79"/>
      <c r="H79"/>
    </row>
    <row r="80" spans="1:8" x14ac:dyDescent="0.2">
      <c r="A80"/>
      <c r="B80"/>
      <c r="C80"/>
      <c r="D80"/>
      <c r="E80"/>
      <c r="F80"/>
      <c r="G80"/>
      <c r="H80"/>
    </row>
    <row r="81" spans="1:8" x14ac:dyDescent="0.2">
      <c r="A81"/>
      <c r="B81"/>
      <c r="C81"/>
      <c r="D81"/>
      <c r="E81"/>
      <c r="F81"/>
      <c r="G81"/>
      <c r="H81"/>
    </row>
    <row r="82" spans="1:8" x14ac:dyDescent="0.2">
      <c r="A82"/>
      <c r="B82"/>
      <c r="C82"/>
      <c r="D82"/>
      <c r="E82"/>
      <c r="F82"/>
      <c r="G82"/>
      <c r="H82"/>
    </row>
    <row r="83" spans="1:8" x14ac:dyDescent="0.2">
      <c r="A83"/>
      <c r="B83"/>
      <c r="C83"/>
      <c r="D83"/>
      <c r="E83"/>
      <c r="F83"/>
      <c r="G83"/>
      <c r="H83"/>
    </row>
    <row r="84" spans="1:8" x14ac:dyDescent="0.2">
      <c r="A84"/>
      <c r="B84"/>
      <c r="C84"/>
      <c r="D84"/>
      <c r="E84"/>
      <c r="F84"/>
      <c r="G84"/>
      <c r="H84"/>
    </row>
    <row r="85" spans="1:8" x14ac:dyDescent="0.2">
      <c r="A85"/>
      <c r="B85"/>
      <c r="C85"/>
      <c r="D85"/>
      <c r="E85"/>
      <c r="F85"/>
      <c r="G85"/>
      <c r="H85"/>
    </row>
    <row r="86" spans="1:8" x14ac:dyDescent="0.2">
      <c r="A86"/>
      <c r="B86"/>
      <c r="C86"/>
      <c r="D86"/>
      <c r="E86"/>
      <c r="F86"/>
      <c r="G86"/>
      <c r="H86"/>
    </row>
    <row r="87" spans="1:8" x14ac:dyDescent="0.2">
      <c r="A87"/>
      <c r="B87"/>
      <c r="C87"/>
      <c r="D87"/>
      <c r="E87"/>
      <c r="F87"/>
      <c r="G87"/>
      <c r="H87"/>
    </row>
    <row r="88" spans="1:8" x14ac:dyDescent="0.2">
      <c r="A88"/>
      <c r="B88"/>
      <c r="C88"/>
      <c r="D88"/>
      <c r="E88"/>
      <c r="F88"/>
      <c r="G88"/>
      <c r="H88"/>
    </row>
    <row r="89" spans="1:8" x14ac:dyDescent="0.2">
      <c r="A89"/>
      <c r="B89"/>
      <c r="C89"/>
      <c r="D89"/>
      <c r="E89"/>
      <c r="F89"/>
      <c r="G89"/>
      <c r="H89"/>
    </row>
    <row r="90" spans="1:8" x14ac:dyDescent="0.2">
      <c r="A90"/>
      <c r="B90"/>
      <c r="C90"/>
      <c r="D90"/>
      <c r="E90"/>
      <c r="F90"/>
      <c r="G90"/>
      <c r="H90"/>
    </row>
    <row r="91" spans="1:8" x14ac:dyDescent="0.2">
      <c r="A91"/>
      <c r="B91"/>
      <c r="C91"/>
      <c r="D91"/>
      <c r="E91"/>
      <c r="F91"/>
      <c r="G91"/>
      <c r="H91"/>
    </row>
    <row r="92" spans="1:8" x14ac:dyDescent="0.2">
      <c r="A92"/>
      <c r="B92"/>
      <c r="C92"/>
      <c r="D92"/>
      <c r="E92"/>
      <c r="F92"/>
      <c r="G92"/>
      <c r="H92"/>
    </row>
    <row r="93" spans="1:8" x14ac:dyDescent="0.2">
      <c r="A93"/>
      <c r="B93"/>
      <c r="C93"/>
      <c r="D93"/>
      <c r="E93"/>
      <c r="F93"/>
      <c r="G93"/>
      <c r="H93"/>
    </row>
    <row r="94" spans="1:8" x14ac:dyDescent="0.2">
      <c r="A94"/>
      <c r="B94"/>
      <c r="C94"/>
      <c r="D94"/>
      <c r="E94"/>
      <c r="F94"/>
      <c r="G94"/>
      <c r="H94"/>
    </row>
    <row r="95" spans="1:8" x14ac:dyDescent="0.2">
      <c r="A95"/>
      <c r="B95"/>
      <c r="C95"/>
      <c r="D95"/>
      <c r="E95"/>
      <c r="F95"/>
      <c r="G95"/>
      <c r="H95"/>
    </row>
    <row r="96" spans="1:8" x14ac:dyDescent="0.2">
      <c r="A96"/>
      <c r="B96"/>
      <c r="C96"/>
      <c r="D96"/>
      <c r="E96"/>
      <c r="F96"/>
      <c r="G96"/>
      <c r="H96"/>
    </row>
    <row r="97" spans="1:8" x14ac:dyDescent="0.2">
      <c r="A97"/>
      <c r="B97"/>
      <c r="C97"/>
      <c r="D97"/>
      <c r="E97"/>
      <c r="F97"/>
      <c r="G97"/>
      <c r="H97"/>
    </row>
    <row r="98" spans="1:8" x14ac:dyDescent="0.2">
      <c r="A98"/>
      <c r="B98"/>
      <c r="C98"/>
      <c r="D98"/>
      <c r="E98"/>
      <c r="F98"/>
      <c r="G98"/>
      <c r="H98"/>
    </row>
    <row r="99" spans="1:8" x14ac:dyDescent="0.2">
      <c r="A99"/>
      <c r="B99"/>
      <c r="C99"/>
      <c r="D99"/>
      <c r="E99"/>
      <c r="F99"/>
      <c r="G99"/>
      <c r="H99"/>
    </row>
    <row r="100" spans="1:8" x14ac:dyDescent="0.2">
      <c r="A100"/>
      <c r="B100"/>
      <c r="C100"/>
      <c r="D100"/>
      <c r="E100"/>
      <c r="F100"/>
      <c r="G100"/>
      <c r="H100"/>
    </row>
    <row r="101" spans="1:8" x14ac:dyDescent="0.2">
      <c r="A101"/>
      <c r="B101"/>
      <c r="C101"/>
      <c r="D101"/>
      <c r="E101"/>
      <c r="F101"/>
      <c r="G101"/>
      <c r="H101"/>
    </row>
    <row r="102" spans="1:8" x14ac:dyDescent="0.2">
      <c r="A102"/>
      <c r="B102"/>
      <c r="C102"/>
      <c r="D102"/>
      <c r="E102"/>
      <c r="F102"/>
      <c r="G102"/>
      <c r="H102"/>
    </row>
    <row r="103" spans="1:8" x14ac:dyDescent="0.2">
      <c r="A103"/>
      <c r="B103"/>
      <c r="C103"/>
      <c r="D103"/>
      <c r="E103"/>
      <c r="F103"/>
      <c r="G103"/>
      <c r="H103"/>
    </row>
    <row r="104" spans="1:8" x14ac:dyDescent="0.2">
      <c r="A104"/>
      <c r="B104"/>
      <c r="C104"/>
      <c r="D104"/>
      <c r="E104"/>
      <c r="F104"/>
      <c r="G104"/>
      <c r="H104"/>
    </row>
    <row r="105" spans="1:8" x14ac:dyDescent="0.2">
      <c r="A105"/>
      <c r="B105"/>
      <c r="C105"/>
      <c r="D105"/>
      <c r="E105"/>
      <c r="F105"/>
      <c r="G105"/>
      <c r="H105"/>
    </row>
    <row r="106" spans="1:8" x14ac:dyDescent="0.2">
      <c r="A106"/>
      <c r="B106"/>
      <c r="C106"/>
      <c r="D106"/>
      <c r="E106"/>
      <c r="F106"/>
      <c r="G106"/>
      <c r="H106"/>
    </row>
    <row r="107" spans="1:8" x14ac:dyDescent="0.2">
      <c r="A107"/>
      <c r="B107"/>
      <c r="C107"/>
      <c r="D107"/>
      <c r="E107"/>
      <c r="F107"/>
      <c r="G107"/>
      <c r="H107"/>
    </row>
    <row r="108" spans="1:8" x14ac:dyDescent="0.2">
      <c r="A108"/>
      <c r="B108"/>
      <c r="C108"/>
      <c r="D108"/>
      <c r="E108"/>
      <c r="F108"/>
      <c r="G108"/>
      <c r="H108"/>
    </row>
    <row r="109" spans="1:8" x14ac:dyDescent="0.2">
      <c r="A109"/>
      <c r="B109"/>
      <c r="C109"/>
      <c r="D109"/>
      <c r="E109"/>
      <c r="F109"/>
      <c r="G109"/>
      <c r="H109"/>
    </row>
    <row r="110" spans="1:8" x14ac:dyDescent="0.2">
      <c r="A110"/>
      <c r="B110"/>
      <c r="C110"/>
      <c r="D110"/>
      <c r="E110"/>
      <c r="F110"/>
      <c r="G110"/>
      <c r="H110"/>
    </row>
    <row r="111" spans="1:8" x14ac:dyDescent="0.2">
      <c r="A111"/>
      <c r="B111"/>
      <c r="C111"/>
      <c r="D111"/>
      <c r="E111"/>
      <c r="F111"/>
      <c r="G111"/>
      <c r="H111"/>
    </row>
    <row r="112" spans="1:8" x14ac:dyDescent="0.2">
      <c r="A112"/>
      <c r="B112"/>
      <c r="C112"/>
      <c r="D112"/>
      <c r="E112"/>
      <c r="F112"/>
      <c r="G112"/>
      <c r="H112"/>
    </row>
    <row r="113" spans="1:8" x14ac:dyDescent="0.2">
      <c r="A113"/>
      <c r="B113"/>
      <c r="C113"/>
      <c r="D113"/>
      <c r="E113"/>
      <c r="F113"/>
      <c r="G113"/>
      <c r="H113"/>
    </row>
    <row r="114" spans="1:8" x14ac:dyDescent="0.2">
      <c r="A114"/>
      <c r="B114"/>
      <c r="C114"/>
      <c r="D114"/>
      <c r="E114"/>
      <c r="F114"/>
      <c r="G114"/>
      <c r="H114"/>
    </row>
    <row r="115" spans="1:8" x14ac:dyDescent="0.2">
      <c r="A115"/>
      <c r="B115"/>
      <c r="C115"/>
      <c r="D115"/>
      <c r="E115"/>
      <c r="F115"/>
      <c r="G115"/>
      <c r="H115"/>
    </row>
    <row r="116" spans="1:8" x14ac:dyDescent="0.2">
      <c r="A116"/>
      <c r="B116"/>
      <c r="C116"/>
      <c r="D116"/>
      <c r="E116"/>
      <c r="F116"/>
      <c r="G116"/>
      <c r="H116"/>
    </row>
    <row r="117" spans="1:8" x14ac:dyDescent="0.2">
      <c r="A117"/>
      <c r="B117"/>
      <c r="C117"/>
      <c r="D117"/>
      <c r="E117"/>
      <c r="F117"/>
      <c r="G117"/>
      <c r="H117"/>
    </row>
    <row r="118" spans="1:8" x14ac:dyDescent="0.2">
      <c r="A118"/>
      <c r="B118"/>
      <c r="C118"/>
      <c r="D118"/>
      <c r="E118"/>
      <c r="F118"/>
      <c r="G118"/>
      <c r="H118"/>
    </row>
    <row r="119" spans="1:8" x14ac:dyDescent="0.2">
      <c r="A119"/>
      <c r="B119"/>
      <c r="C119"/>
      <c r="D119"/>
      <c r="E119"/>
      <c r="F119"/>
      <c r="G119"/>
      <c r="H119"/>
    </row>
    <row r="120" spans="1:8" x14ac:dyDescent="0.2">
      <c r="A120"/>
      <c r="B120"/>
      <c r="C120"/>
      <c r="D120"/>
      <c r="E120"/>
      <c r="F120"/>
      <c r="G120"/>
      <c r="H120"/>
    </row>
    <row r="121" spans="1:8" x14ac:dyDescent="0.2">
      <c r="A121"/>
      <c r="B121"/>
      <c r="C121"/>
      <c r="D121"/>
      <c r="E121"/>
      <c r="F121"/>
      <c r="G121"/>
      <c r="H121"/>
    </row>
    <row r="122" spans="1:8" x14ac:dyDescent="0.2">
      <c r="A122"/>
      <c r="B122"/>
      <c r="C122"/>
      <c r="D122"/>
      <c r="E122"/>
      <c r="F122"/>
      <c r="G122"/>
      <c r="H122"/>
    </row>
    <row r="123" spans="1:8" x14ac:dyDescent="0.2">
      <c r="A123"/>
      <c r="B123"/>
      <c r="C123"/>
      <c r="D123"/>
      <c r="E123"/>
      <c r="F123"/>
      <c r="G123"/>
      <c r="H123"/>
    </row>
    <row r="124" spans="1:8" x14ac:dyDescent="0.2">
      <c r="A124"/>
      <c r="B124"/>
      <c r="C124"/>
      <c r="D124"/>
      <c r="E124"/>
      <c r="F124"/>
      <c r="G124"/>
      <c r="H124"/>
    </row>
    <row r="125" spans="1:8" x14ac:dyDescent="0.2">
      <c r="A125"/>
      <c r="B125"/>
      <c r="C125"/>
      <c r="D125"/>
      <c r="E125"/>
      <c r="F125"/>
      <c r="G125"/>
      <c r="H125"/>
    </row>
    <row r="126" spans="1:8" x14ac:dyDescent="0.2">
      <c r="A126"/>
      <c r="B126"/>
      <c r="C126"/>
      <c r="D126"/>
      <c r="E126"/>
      <c r="F126"/>
      <c r="G126"/>
      <c r="H126"/>
    </row>
    <row r="127" spans="1:8" x14ac:dyDescent="0.2">
      <c r="A127"/>
      <c r="B127"/>
      <c r="C127"/>
      <c r="D127"/>
      <c r="E127"/>
      <c r="F127"/>
      <c r="G127"/>
      <c r="H127"/>
    </row>
    <row r="128" spans="1:8" x14ac:dyDescent="0.2">
      <c r="A128"/>
      <c r="B128"/>
      <c r="C128"/>
      <c r="D128"/>
      <c r="E128"/>
      <c r="F128"/>
      <c r="G128"/>
      <c r="H128"/>
    </row>
    <row r="129" spans="1:8" x14ac:dyDescent="0.2">
      <c r="A129"/>
      <c r="B129"/>
      <c r="C129"/>
      <c r="D129"/>
      <c r="E129"/>
      <c r="F129"/>
      <c r="G129"/>
      <c r="H129"/>
    </row>
    <row r="130" spans="1:8" x14ac:dyDescent="0.2">
      <c r="A130"/>
      <c r="B130"/>
      <c r="C130"/>
      <c r="D130"/>
      <c r="E130"/>
      <c r="F130"/>
      <c r="G130"/>
      <c r="H130"/>
    </row>
    <row r="131" spans="1:8" x14ac:dyDescent="0.2">
      <c r="A131"/>
      <c r="B131"/>
      <c r="C131"/>
      <c r="D131"/>
      <c r="E131"/>
      <c r="F131"/>
      <c r="G131"/>
      <c r="H131"/>
    </row>
    <row r="132" spans="1:8" x14ac:dyDescent="0.2">
      <c r="A132"/>
      <c r="B132"/>
      <c r="C132"/>
      <c r="D132"/>
      <c r="E132"/>
      <c r="F132"/>
      <c r="G132"/>
      <c r="H132"/>
    </row>
    <row r="133" spans="1:8" x14ac:dyDescent="0.2">
      <c r="A133"/>
      <c r="B133"/>
      <c r="C133"/>
      <c r="D133"/>
      <c r="E133"/>
      <c r="F133"/>
      <c r="G133"/>
      <c r="H133"/>
    </row>
    <row r="134" spans="1:8" x14ac:dyDescent="0.2">
      <c r="A134"/>
      <c r="B134"/>
      <c r="C134"/>
      <c r="D134"/>
      <c r="E134"/>
      <c r="F134"/>
      <c r="G134"/>
      <c r="H134"/>
    </row>
    <row r="135" spans="1:8" x14ac:dyDescent="0.2">
      <c r="A135"/>
      <c r="B135"/>
      <c r="C135"/>
      <c r="D135"/>
      <c r="E135"/>
      <c r="F135"/>
      <c r="G135"/>
      <c r="H135"/>
    </row>
    <row r="136" spans="1:8" x14ac:dyDescent="0.2">
      <c r="A136"/>
      <c r="B136"/>
      <c r="C136"/>
      <c r="D136"/>
      <c r="E136"/>
      <c r="F136"/>
      <c r="G136"/>
      <c r="H136"/>
    </row>
    <row r="137" spans="1:8" x14ac:dyDescent="0.2">
      <c r="A137"/>
      <c r="B137"/>
      <c r="C137"/>
      <c r="D137"/>
      <c r="E137"/>
      <c r="F137"/>
      <c r="G137"/>
      <c r="H137"/>
    </row>
    <row r="138" spans="1:8" x14ac:dyDescent="0.2">
      <c r="A138"/>
      <c r="B138"/>
      <c r="C138"/>
      <c r="D138"/>
      <c r="E138"/>
      <c r="F138"/>
      <c r="G138"/>
      <c r="H138"/>
    </row>
    <row r="139" spans="1:8" x14ac:dyDescent="0.2">
      <c r="A139"/>
      <c r="B139"/>
      <c r="C139"/>
      <c r="D139"/>
      <c r="E139"/>
      <c r="F139"/>
      <c r="G139"/>
      <c r="H139"/>
    </row>
    <row r="140" spans="1:8" x14ac:dyDescent="0.2">
      <c r="A140"/>
      <c r="B140"/>
      <c r="C140"/>
      <c r="D140"/>
      <c r="E140"/>
      <c r="F140"/>
      <c r="G140"/>
      <c r="H140"/>
    </row>
    <row r="141" spans="1:8" x14ac:dyDescent="0.2">
      <c r="A141"/>
      <c r="B141"/>
      <c r="C141"/>
      <c r="D141"/>
      <c r="E141"/>
      <c r="F141"/>
      <c r="G141"/>
      <c r="H141"/>
    </row>
    <row r="142" spans="1:8" x14ac:dyDescent="0.2">
      <c r="A142"/>
      <c r="B142"/>
      <c r="C142"/>
      <c r="D142"/>
      <c r="E142"/>
      <c r="F142"/>
      <c r="G142"/>
      <c r="H142"/>
    </row>
    <row r="143" spans="1:8" x14ac:dyDescent="0.2">
      <c r="A143"/>
      <c r="B143"/>
      <c r="C143"/>
      <c r="D143"/>
      <c r="E143"/>
      <c r="F143"/>
      <c r="G143"/>
      <c r="H143"/>
    </row>
    <row r="144" spans="1:8" x14ac:dyDescent="0.2">
      <c r="A144"/>
      <c r="B144"/>
      <c r="C144"/>
      <c r="D144"/>
      <c r="E144"/>
      <c r="F144"/>
      <c r="G144"/>
      <c r="H144"/>
    </row>
    <row r="145" spans="1:8" x14ac:dyDescent="0.2">
      <c r="A145"/>
      <c r="B145"/>
      <c r="C145"/>
      <c r="D145"/>
      <c r="E145"/>
      <c r="F145"/>
      <c r="G145"/>
      <c r="H145"/>
    </row>
    <row r="146" spans="1:8" x14ac:dyDescent="0.2">
      <c r="A146"/>
      <c r="B146"/>
      <c r="C146"/>
      <c r="D146"/>
      <c r="E146"/>
      <c r="F146"/>
      <c r="G146"/>
      <c r="H146"/>
    </row>
    <row r="147" spans="1:8" x14ac:dyDescent="0.2">
      <c r="A147"/>
      <c r="B147"/>
      <c r="C147"/>
      <c r="D147"/>
      <c r="E147"/>
      <c r="F147"/>
      <c r="G147"/>
      <c r="H147"/>
    </row>
    <row r="148" spans="1:8" x14ac:dyDescent="0.2">
      <c r="A148"/>
      <c r="B148"/>
      <c r="C148"/>
      <c r="D148"/>
      <c r="E148"/>
      <c r="F148"/>
      <c r="G148"/>
      <c r="H148"/>
    </row>
    <row r="149" spans="1:8" x14ac:dyDescent="0.2">
      <c r="A149"/>
      <c r="B149"/>
      <c r="C149"/>
      <c r="D149"/>
      <c r="E149"/>
      <c r="F149"/>
      <c r="G149"/>
      <c r="H149"/>
    </row>
    <row r="150" spans="1:8" x14ac:dyDescent="0.2">
      <c r="A150"/>
      <c r="B150"/>
      <c r="C150"/>
      <c r="D150"/>
      <c r="E150"/>
      <c r="F150"/>
      <c r="G150"/>
      <c r="H150"/>
    </row>
    <row r="151" spans="1:8" x14ac:dyDescent="0.2">
      <c r="A151"/>
      <c r="B151"/>
      <c r="C151"/>
      <c r="D151"/>
      <c r="E151"/>
      <c r="F151"/>
      <c r="G151"/>
      <c r="H151"/>
    </row>
    <row r="152" spans="1:8" x14ac:dyDescent="0.2">
      <c r="A152"/>
      <c r="B152"/>
      <c r="C152"/>
      <c r="D152"/>
      <c r="E152"/>
      <c r="F152"/>
      <c r="G152"/>
      <c r="H152"/>
    </row>
    <row r="153" spans="1:8" x14ac:dyDescent="0.2">
      <c r="A153"/>
      <c r="B153"/>
      <c r="C153"/>
      <c r="D153"/>
      <c r="E153"/>
      <c r="F153"/>
      <c r="G153"/>
      <c r="H153"/>
    </row>
    <row r="154" spans="1:8" x14ac:dyDescent="0.2">
      <c r="A154"/>
      <c r="B154"/>
      <c r="C154"/>
      <c r="D154"/>
      <c r="E154"/>
      <c r="F154"/>
      <c r="G154"/>
      <c r="H154"/>
    </row>
    <row r="155" spans="1:8" x14ac:dyDescent="0.2">
      <c r="A155"/>
      <c r="B155"/>
      <c r="C155"/>
      <c r="D155"/>
      <c r="E155"/>
      <c r="F155"/>
      <c r="G155"/>
      <c r="H155"/>
    </row>
    <row r="156" spans="1:8" x14ac:dyDescent="0.2">
      <c r="A156"/>
      <c r="B156"/>
      <c r="C156"/>
      <c r="D156"/>
      <c r="E156"/>
      <c r="F156"/>
      <c r="G156"/>
      <c r="H156"/>
    </row>
    <row r="157" spans="1:8" x14ac:dyDescent="0.2">
      <c r="A157"/>
      <c r="B157"/>
      <c r="C157"/>
      <c r="D157"/>
      <c r="E157"/>
      <c r="F157"/>
      <c r="G157"/>
      <c r="H157"/>
    </row>
    <row r="158" spans="1:8" x14ac:dyDescent="0.2">
      <c r="A158"/>
      <c r="B158"/>
      <c r="C158"/>
      <c r="D158"/>
      <c r="E158"/>
      <c r="F158"/>
      <c r="G158"/>
      <c r="H158"/>
    </row>
    <row r="159" spans="1:8" x14ac:dyDescent="0.2">
      <c r="A159"/>
      <c r="B159"/>
      <c r="C159"/>
      <c r="D159"/>
      <c r="E159"/>
      <c r="F159"/>
      <c r="G159"/>
      <c r="H159"/>
    </row>
    <row r="160" spans="1:8" x14ac:dyDescent="0.2">
      <c r="A160"/>
      <c r="B160"/>
      <c r="C160"/>
      <c r="D160"/>
      <c r="E160"/>
      <c r="F160"/>
      <c r="G160"/>
      <c r="H160"/>
    </row>
    <row r="161" spans="1:8" x14ac:dyDescent="0.2">
      <c r="A161"/>
      <c r="B161"/>
      <c r="C161"/>
      <c r="D161"/>
      <c r="E161"/>
      <c r="F161"/>
      <c r="G161"/>
      <c r="H161"/>
    </row>
    <row r="162" spans="1:8" x14ac:dyDescent="0.2">
      <c r="A162"/>
      <c r="B162"/>
      <c r="C162"/>
      <c r="D162"/>
      <c r="E162"/>
      <c r="F162"/>
      <c r="G162"/>
      <c r="H162"/>
    </row>
    <row r="163" spans="1:8" x14ac:dyDescent="0.2">
      <c r="A163"/>
      <c r="B163"/>
      <c r="C163"/>
      <c r="D163"/>
      <c r="E163"/>
      <c r="F163"/>
      <c r="G163"/>
      <c r="H163"/>
    </row>
    <row r="164" spans="1:8" x14ac:dyDescent="0.2">
      <c r="A164"/>
      <c r="B164"/>
      <c r="C164"/>
      <c r="D164"/>
      <c r="E164"/>
      <c r="F164"/>
      <c r="G164"/>
      <c r="H164"/>
    </row>
    <row r="165" spans="1:8" x14ac:dyDescent="0.2">
      <c r="A165"/>
      <c r="B165"/>
      <c r="C165"/>
      <c r="D165"/>
      <c r="E165"/>
      <c r="F165"/>
      <c r="G165"/>
      <c r="H165"/>
    </row>
    <row r="166" spans="1:8" x14ac:dyDescent="0.2">
      <c r="A166"/>
      <c r="B166"/>
      <c r="C166"/>
      <c r="D166"/>
      <c r="E166"/>
      <c r="F166"/>
      <c r="G166"/>
      <c r="H166"/>
    </row>
    <row r="167" spans="1:8" x14ac:dyDescent="0.2">
      <c r="A167"/>
      <c r="B167"/>
      <c r="C167"/>
      <c r="D167"/>
      <c r="E167"/>
      <c r="F167"/>
      <c r="G167"/>
      <c r="H167"/>
    </row>
    <row r="168" spans="1:8" x14ac:dyDescent="0.2">
      <c r="A168"/>
      <c r="B168"/>
      <c r="C168"/>
      <c r="D168"/>
      <c r="E168"/>
      <c r="F168"/>
      <c r="G168"/>
      <c r="H168"/>
    </row>
    <row r="169" spans="1:8" x14ac:dyDescent="0.2">
      <c r="A169"/>
      <c r="B169"/>
      <c r="C169"/>
      <c r="D169"/>
      <c r="E169"/>
      <c r="F169"/>
      <c r="G169"/>
      <c r="H169"/>
    </row>
    <row r="170" spans="1:8" x14ac:dyDescent="0.2">
      <c r="A170"/>
      <c r="B170"/>
      <c r="C170"/>
      <c r="D170"/>
      <c r="E170"/>
      <c r="F170"/>
      <c r="G170"/>
      <c r="H170"/>
    </row>
    <row r="171" spans="1:8" x14ac:dyDescent="0.2">
      <c r="A171"/>
      <c r="B171"/>
      <c r="C171"/>
      <c r="D171"/>
      <c r="E171"/>
      <c r="F171"/>
      <c r="G171"/>
      <c r="H171"/>
    </row>
    <row r="172" spans="1:8" x14ac:dyDescent="0.2">
      <c r="A172"/>
      <c r="B172"/>
      <c r="C172"/>
      <c r="D172"/>
      <c r="E172"/>
      <c r="F172"/>
      <c r="G172"/>
      <c r="H172"/>
    </row>
    <row r="173" spans="1:8" x14ac:dyDescent="0.2">
      <c r="A173"/>
      <c r="B173"/>
      <c r="C173"/>
      <c r="D173"/>
      <c r="E173"/>
      <c r="F173"/>
      <c r="G173"/>
      <c r="H173"/>
    </row>
    <row r="174" spans="1:8" x14ac:dyDescent="0.2">
      <c r="A174"/>
      <c r="B174"/>
      <c r="C174"/>
      <c r="D174"/>
      <c r="E174"/>
      <c r="F174"/>
      <c r="G174"/>
      <c r="H174"/>
    </row>
    <row r="175" spans="1:8" x14ac:dyDescent="0.2">
      <c r="A175"/>
      <c r="B175"/>
      <c r="C175"/>
      <c r="D175"/>
      <c r="E175"/>
      <c r="F175"/>
      <c r="G175"/>
      <c r="H175"/>
    </row>
    <row r="176" spans="1:8" x14ac:dyDescent="0.2">
      <c r="A176"/>
      <c r="B176"/>
      <c r="C176"/>
      <c r="D176"/>
      <c r="E176"/>
      <c r="F176"/>
      <c r="G176"/>
      <c r="H176"/>
    </row>
    <row r="177" spans="1:8" x14ac:dyDescent="0.2">
      <c r="A177"/>
      <c r="B177"/>
      <c r="C177"/>
      <c r="D177"/>
      <c r="E177"/>
      <c r="F177"/>
      <c r="G177"/>
      <c r="H177"/>
    </row>
    <row r="178" spans="1:8" x14ac:dyDescent="0.2">
      <c r="A178"/>
      <c r="B178"/>
      <c r="C178"/>
      <c r="D178"/>
      <c r="E178"/>
      <c r="F178"/>
      <c r="G178"/>
      <c r="H178"/>
    </row>
    <row r="179" spans="1:8" x14ac:dyDescent="0.2">
      <c r="A179"/>
      <c r="B179"/>
      <c r="C179"/>
      <c r="D179"/>
      <c r="E179"/>
      <c r="F179"/>
      <c r="G179"/>
      <c r="H179"/>
    </row>
    <row r="180" spans="1:8" x14ac:dyDescent="0.2">
      <c r="A180"/>
      <c r="B180"/>
      <c r="C180"/>
      <c r="D180"/>
      <c r="E180"/>
      <c r="F180"/>
      <c r="G180"/>
      <c r="H180"/>
    </row>
    <row r="181" spans="1:8" x14ac:dyDescent="0.2">
      <c r="A181"/>
      <c r="B181"/>
      <c r="C181"/>
      <c r="D181"/>
      <c r="E181"/>
      <c r="F181"/>
      <c r="G181"/>
      <c r="H181"/>
    </row>
    <row r="182" spans="1:8" x14ac:dyDescent="0.2">
      <c r="A182"/>
      <c r="B182"/>
      <c r="C182"/>
      <c r="D182"/>
      <c r="E182"/>
      <c r="F182"/>
      <c r="G182"/>
      <c r="H182"/>
    </row>
    <row r="183" spans="1:8" x14ac:dyDescent="0.2">
      <c r="A183"/>
      <c r="B183"/>
      <c r="C183"/>
      <c r="D183"/>
      <c r="E183"/>
      <c r="F183"/>
      <c r="G183"/>
      <c r="H183"/>
    </row>
    <row r="184" spans="1:8" x14ac:dyDescent="0.2">
      <c r="A184"/>
      <c r="B184"/>
      <c r="C184"/>
      <c r="D184"/>
      <c r="E184"/>
      <c r="F184"/>
      <c r="G184"/>
      <c r="H184"/>
    </row>
    <row r="185" spans="1:8" x14ac:dyDescent="0.2">
      <c r="A185"/>
      <c r="B185"/>
      <c r="C185"/>
      <c r="D185"/>
      <c r="E185"/>
      <c r="F185"/>
      <c r="G185"/>
      <c r="H185"/>
    </row>
    <row r="186" spans="1:8" x14ac:dyDescent="0.2">
      <c r="A186"/>
      <c r="B186"/>
      <c r="C186"/>
      <c r="D186"/>
      <c r="E186"/>
      <c r="F186"/>
      <c r="G186"/>
      <c r="H186"/>
    </row>
    <row r="187" spans="1:8" x14ac:dyDescent="0.2">
      <c r="A187"/>
      <c r="B187"/>
      <c r="C187"/>
      <c r="D187"/>
      <c r="E187"/>
      <c r="F187"/>
      <c r="G187"/>
      <c r="H187"/>
    </row>
    <row r="188" spans="1:8" x14ac:dyDescent="0.2">
      <c r="A188"/>
      <c r="B188"/>
      <c r="C188"/>
      <c r="D188"/>
      <c r="E188"/>
      <c r="F188"/>
      <c r="G188"/>
      <c r="H188"/>
    </row>
    <row r="189" spans="1:8" x14ac:dyDescent="0.2">
      <c r="A189"/>
      <c r="B189"/>
      <c r="C189"/>
      <c r="D189"/>
      <c r="E189"/>
      <c r="F189"/>
      <c r="G189"/>
      <c r="H189"/>
    </row>
    <row r="190" spans="1:8" x14ac:dyDescent="0.2">
      <c r="A190"/>
      <c r="B190"/>
      <c r="C190"/>
      <c r="D190"/>
      <c r="E190"/>
      <c r="F190"/>
      <c r="G190"/>
      <c r="H190"/>
    </row>
    <row r="191" spans="1:8" x14ac:dyDescent="0.2">
      <c r="A191"/>
      <c r="B191"/>
      <c r="C191"/>
      <c r="D191"/>
      <c r="E191"/>
      <c r="F191"/>
      <c r="G191"/>
      <c r="H191"/>
    </row>
    <row r="192" spans="1:8" x14ac:dyDescent="0.2">
      <c r="A192"/>
      <c r="B192"/>
      <c r="C192"/>
      <c r="D192"/>
      <c r="E192"/>
      <c r="F192"/>
      <c r="G192"/>
      <c r="H192"/>
    </row>
    <row r="193" spans="1:8" x14ac:dyDescent="0.2">
      <c r="A193"/>
      <c r="B193"/>
      <c r="C193"/>
      <c r="D193"/>
      <c r="E193"/>
      <c r="F193"/>
      <c r="G193"/>
      <c r="H193"/>
    </row>
    <row r="194" spans="1:8" x14ac:dyDescent="0.2">
      <c r="A194"/>
      <c r="B194"/>
      <c r="C194"/>
      <c r="D194"/>
      <c r="E194"/>
      <c r="F194"/>
      <c r="G194"/>
      <c r="H194"/>
    </row>
    <row r="195" spans="1:8" x14ac:dyDescent="0.2">
      <c r="A195"/>
      <c r="B195"/>
      <c r="C195"/>
      <c r="D195"/>
      <c r="E195"/>
      <c r="F195"/>
      <c r="G195"/>
      <c r="H195"/>
    </row>
    <row r="196" spans="1:8" x14ac:dyDescent="0.2">
      <c r="A196"/>
      <c r="B196"/>
      <c r="C196"/>
      <c r="D196"/>
      <c r="E196"/>
      <c r="F196"/>
      <c r="G196"/>
      <c r="H196"/>
    </row>
    <row r="197" spans="1:8" x14ac:dyDescent="0.2">
      <c r="A197"/>
      <c r="B197"/>
      <c r="C197"/>
      <c r="D197"/>
      <c r="E197"/>
      <c r="F197"/>
      <c r="G197"/>
      <c r="H197"/>
    </row>
    <row r="198" spans="1:8" x14ac:dyDescent="0.2">
      <c r="A198"/>
      <c r="B198"/>
      <c r="C198"/>
      <c r="D198"/>
      <c r="E198"/>
      <c r="F198"/>
      <c r="G198"/>
      <c r="H198"/>
    </row>
    <row r="199" spans="1:8" x14ac:dyDescent="0.2">
      <c r="A199"/>
      <c r="B199"/>
      <c r="C199"/>
      <c r="D199"/>
      <c r="E199"/>
      <c r="F199"/>
      <c r="G199"/>
      <c r="H199"/>
    </row>
    <row r="200" spans="1:8" x14ac:dyDescent="0.2">
      <c r="A200"/>
      <c r="B200"/>
      <c r="C200"/>
      <c r="D200"/>
      <c r="E200"/>
      <c r="F200"/>
      <c r="G200"/>
      <c r="H200"/>
    </row>
    <row r="201" spans="1:8" x14ac:dyDescent="0.2">
      <c r="A201"/>
      <c r="B201"/>
      <c r="C201"/>
      <c r="D201"/>
      <c r="E201"/>
      <c r="F201"/>
      <c r="G201"/>
      <c r="H201"/>
    </row>
    <row r="202" spans="1:8" x14ac:dyDescent="0.2">
      <c r="A202"/>
      <c r="B202"/>
      <c r="C202"/>
      <c r="D202"/>
      <c r="E202"/>
      <c r="F202"/>
      <c r="G202"/>
      <c r="H202"/>
    </row>
    <row r="203" spans="1:8" x14ac:dyDescent="0.2">
      <c r="A203"/>
      <c r="B203"/>
      <c r="C203"/>
      <c r="D203"/>
      <c r="E203"/>
      <c r="F203"/>
      <c r="G203"/>
      <c r="H203"/>
    </row>
    <row r="204" spans="1:8" x14ac:dyDescent="0.2">
      <c r="A204"/>
      <c r="B204"/>
      <c r="C204"/>
      <c r="D204"/>
      <c r="E204"/>
      <c r="F204"/>
      <c r="G204"/>
      <c r="H204"/>
    </row>
    <row r="205" spans="1:8" x14ac:dyDescent="0.2">
      <c r="A205"/>
      <c r="B205"/>
      <c r="C205"/>
      <c r="D205"/>
      <c r="E205"/>
      <c r="F205"/>
      <c r="G205"/>
      <c r="H205"/>
    </row>
    <row r="206" spans="1:8" x14ac:dyDescent="0.2">
      <c r="A206"/>
      <c r="B206"/>
      <c r="C206"/>
      <c r="D206"/>
      <c r="E206"/>
      <c r="F206"/>
      <c r="G206"/>
      <c r="H206"/>
    </row>
    <row r="207" spans="1:8" x14ac:dyDescent="0.2">
      <c r="A207"/>
      <c r="B207"/>
      <c r="C207"/>
      <c r="D207"/>
      <c r="E207"/>
      <c r="F207"/>
      <c r="G207"/>
      <c r="H207"/>
    </row>
    <row r="208" spans="1:8" x14ac:dyDescent="0.2">
      <c r="A208"/>
      <c r="B208"/>
      <c r="C208"/>
      <c r="D208"/>
      <c r="E208"/>
      <c r="F208"/>
      <c r="G208"/>
      <c r="H208"/>
    </row>
    <row r="209" spans="1:8" x14ac:dyDescent="0.2">
      <c r="A209"/>
      <c r="B209"/>
      <c r="C209"/>
      <c r="D209"/>
      <c r="E209"/>
      <c r="F209"/>
      <c r="G209"/>
      <c r="H209"/>
    </row>
    <row r="210" spans="1:8" x14ac:dyDescent="0.2">
      <c r="A210"/>
      <c r="B210"/>
      <c r="C210"/>
      <c r="D210"/>
      <c r="E210"/>
      <c r="F210"/>
      <c r="G210"/>
      <c r="H210"/>
    </row>
    <row r="211" spans="1:8" x14ac:dyDescent="0.2">
      <c r="A211"/>
      <c r="B211"/>
      <c r="C211"/>
      <c r="D211"/>
      <c r="E211"/>
      <c r="F211"/>
      <c r="G211"/>
      <c r="H211"/>
    </row>
    <row r="212" spans="1:8" x14ac:dyDescent="0.2">
      <c r="A212"/>
      <c r="B212"/>
      <c r="C212"/>
      <c r="D212"/>
      <c r="E212"/>
      <c r="F212"/>
      <c r="G212"/>
      <c r="H212"/>
    </row>
    <row r="213" spans="1:8" x14ac:dyDescent="0.2">
      <c r="A213"/>
      <c r="B213"/>
      <c r="C213"/>
      <c r="D213"/>
      <c r="E213"/>
      <c r="F213"/>
      <c r="G213"/>
      <c r="H213"/>
    </row>
    <row r="214" spans="1:8" x14ac:dyDescent="0.2">
      <c r="A214"/>
      <c r="B214"/>
      <c r="C214"/>
      <c r="D214"/>
      <c r="E214"/>
      <c r="F214"/>
      <c r="G214"/>
      <c r="H214"/>
    </row>
    <row r="215" spans="1:8" x14ac:dyDescent="0.2">
      <c r="A215"/>
      <c r="B215"/>
      <c r="C215"/>
      <c r="D215"/>
      <c r="E215"/>
      <c r="F215"/>
      <c r="G215"/>
      <c r="H215"/>
    </row>
    <row r="216" spans="1:8" x14ac:dyDescent="0.2">
      <c r="A216"/>
      <c r="B216"/>
      <c r="C216"/>
      <c r="D216"/>
      <c r="E216"/>
      <c r="F216"/>
      <c r="G216"/>
      <c r="H216"/>
    </row>
    <row r="217" spans="1:8" x14ac:dyDescent="0.2">
      <c r="A217"/>
      <c r="B217"/>
      <c r="C217"/>
      <c r="D217"/>
      <c r="E217"/>
      <c r="F217"/>
      <c r="G217"/>
      <c r="H217"/>
    </row>
    <row r="218" spans="1:8" x14ac:dyDescent="0.2">
      <c r="A218"/>
      <c r="B218"/>
      <c r="C218"/>
      <c r="D218"/>
      <c r="E218"/>
      <c r="F218"/>
      <c r="G218"/>
      <c r="H218"/>
    </row>
    <row r="219" spans="1:8" x14ac:dyDescent="0.2">
      <c r="A219"/>
      <c r="B219"/>
      <c r="C219"/>
      <c r="D219"/>
      <c r="E219"/>
      <c r="F219"/>
      <c r="G219"/>
      <c r="H219"/>
    </row>
    <row r="220" spans="1:8" x14ac:dyDescent="0.2">
      <c r="A220"/>
      <c r="B220"/>
      <c r="C220"/>
      <c r="D220"/>
      <c r="E220"/>
      <c r="F220"/>
      <c r="G220"/>
      <c r="H220"/>
    </row>
    <row r="221" spans="1:8" x14ac:dyDescent="0.2">
      <c r="A221"/>
      <c r="B221"/>
      <c r="C221"/>
      <c r="D221"/>
      <c r="E221"/>
      <c r="F221"/>
      <c r="G221"/>
      <c r="H221"/>
    </row>
    <row r="222" spans="1:8" x14ac:dyDescent="0.2">
      <c r="A222"/>
      <c r="B222"/>
      <c r="C222"/>
      <c r="D222"/>
      <c r="E222"/>
      <c r="F222"/>
      <c r="G222"/>
      <c r="H222"/>
    </row>
    <row r="223" spans="1:8" x14ac:dyDescent="0.2">
      <c r="A223"/>
      <c r="B223"/>
      <c r="C223"/>
      <c r="D223"/>
      <c r="E223"/>
      <c r="F223"/>
      <c r="G223"/>
      <c r="H223"/>
    </row>
    <row r="224" spans="1:8" x14ac:dyDescent="0.2">
      <c r="A224"/>
      <c r="B224"/>
      <c r="C224"/>
      <c r="D224"/>
      <c r="E224"/>
      <c r="F224"/>
      <c r="G224"/>
      <c r="H224"/>
    </row>
    <row r="225" spans="1:8" x14ac:dyDescent="0.2">
      <c r="A225"/>
      <c r="B225"/>
      <c r="C225"/>
      <c r="D225"/>
      <c r="E225"/>
      <c r="F225"/>
      <c r="G225"/>
      <c r="H225"/>
    </row>
    <row r="226" spans="1:8" x14ac:dyDescent="0.2">
      <c r="A226"/>
      <c r="B226"/>
      <c r="C226"/>
      <c r="D226"/>
      <c r="E226"/>
      <c r="F226"/>
      <c r="G226"/>
      <c r="H226"/>
    </row>
    <row r="227" spans="1:8" x14ac:dyDescent="0.2">
      <c r="A227"/>
      <c r="B227"/>
      <c r="C227"/>
      <c r="D227"/>
      <c r="E227"/>
      <c r="F227"/>
      <c r="G227"/>
      <c r="H227"/>
    </row>
    <row r="228" spans="1:8" x14ac:dyDescent="0.2">
      <c r="A228"/>
      <c r="B228"/>
      <c r="C228"/>
      <c r="D228"/>
      <c r="E228"/>
      <c r="F228"/>
      <c r="G228"/>
      <c r="H228"/>
    </row>
    <row r="229" spans="1:8" x14ac:dyDescent="0.2">
      <c r="A229"/>
      <c r="B229"/>
      <c r="C229"/>
      <c r="D229"/>
      <c r="E229"/>
      <c r="F229"/>
      <c r="G229"/>
      <c r="H229"/>
    </row>
    <row r="230" spans="1:8" x14ac:dyDescent="0.2">
      <c r="A230"/>
      <c r="B230"/>
      <c r="C230"/>
      <c r="D230"/>
      <c r="E230"/>
      <c r="F230"/>
      <c r="G230"/>
      <c r="H230"/>
    </row>
    <row r="231" spans="1:8" x14ac:dyDescent="0.2">
      <c r="A231"/>
      <c r="B231"/>
      <c r="C231"/>
      <c r="D231"/>
      <c r="E231"/>
      <c r="F231"/>
      <c r="G231"/>
      <c r="H231"/>
    </row>
    <row r="232" spans="1:8" x14ac:dyDescent="0.2">
      <c r="A232"/>
      <c r="B232"/>
      <c r="C232"/>
      <c r="D232"/>
      <c r="E232"/>
      <c r="F232"/>
      <c r="G232"/>
      <c r="H232"/>
    </row>
    <row r="233" spans="1:8" x14ac:dyDescent="0.2">
      <c r="A233"/>
      <c r="B233"/>
      <c r="C233"/>
      <c r="D233"/>
      <c r="E233"/>
      <c r="F233"/>
      <c r="G233"/>
      <c r="H233"/>
    </row>
    <row r="234" spans="1:8" x14ac:dyDescent="0.2">
      <c r="A234"/>
      <c r="B234"/>
      <c r="C234"/>
      <c r="D234"/>
      <c r="E234"/>
      <c r="F234"/>
      <c r="G234"/>
      <c r="H234"/>
    </row>
    <row r="235" spans="1:8" x14ac:dyDescent="0.2">
      <c r="A235"/>
      <c r="B235"/>
      <c r="C235"/>
      <c r="D235"/>
      <c r="E235"/>
      <c r="F235"/>
      <c r="G235"/>
      <c r="H235"/>
    </row>
    <row r="236" spans="1:8" x14ac:dyDescent="0.2">
      <c r="A236"/>
      <c r="B236"/>
      <c r="C236"/>
      <c r="D236"/>
      <c r="E236"/>
      <c r="F236"/>
      <c r="G236"/>
      <c r="H236"/>
    </row>
    <row r="237" spans="1:8" x14ac:dyDescent="0.2">
      <c r="A237"/>
      <c r="B237"/>
      <c r="C237"/>
      <c r="D237"/>
      <c r="E237"/>
      <c r="F237"/>
      <c r="G237"/>
      <c r="H237"/>
    </row>
    <row r="238" spans="1:8" x14ac:dyDescent="0.2">
      <c r="A238"/>
      <c r="B238"/>
      <c r="C238"/>
      <c r="D238"/>
      <c r="E238"/>
      <c r="F238"/>
      <c r="G238"/>
      <c r="H238"/>
    </row>
    <row r="239" spans="1:8" x14ac:dyDescent="0.2">
      <c r="A239"/>
      <c r="B239"/>
      <c r="C239"/>
      <c r="D239"/>
      <c r="E239"/>
      <c r="F239"/>
      <c r="G239"/>
      <c r="H239"/>
    </row>
    <row r="240" spans="1:8" x14ac:dyDescent="0.2">
      <c r="A240"/>
      <c r="B240"/>
      <c r="C240"/>
      <c r="D240"/>
      <c r="E240"/>
      <c r="F240"/>
      <c r="G240"/>
      <c r="H240"/>
    </row>
    <row r="241" spans="1:8" x14ac:dyDescent="0.2">
      <c r="A241"/>
      <c r="B241"/>
      <c r="C241"/>
      <c r="D241"/>
      <c r="E241"/>
      <c r="F241"/>
      <c r="G241"/>
      <c r="H241"/>
    </row>
    <row r="242" spans="1:8" x14ac:dyDescent="0.2">
      <c r="A242"/>
      <c r="B242"/>
      <c r="C242"/>
      <c r="D242"/>
      <c r="E242"/>
      <c r="F242"/>
      <c r="G242"/>
      <c r="H242"/>
    </row>
    <row r="243" spans="1:8" x14ac:dyDescent="0.2">
      <c r="A243"/>
      <c r="B243"/>
      <c r="C243"/>
      <c r="D243"/>
      <c r="E243"/>
      <c r="F243"/>
      <c r="G243"/>
      <c r="H243"/>
    </row>
    <row r="244" spans="1:8" x14ac:dyDescent="0.2">
      <c r="A244"/>
      <c r="B244"/>
      <c r="C244"/>
      <c r="D244"/>
      <c r="E244"/>
      <c r="F244"/>
      <c r="G244"/>
      <c r="H244"/>
    </row>
    <row r="245" spans="1:8" x14ac:dyDescent="0.2">
      <c r="A245"/>
      <c r="B245"/>
      <c r="C245"/>
      <c r="D245"/>
      <c r="E245"/>
      <c r="F245"/>
      <c r="G245"/>
      <c r="H245"/>
    </row>
    <row r="246" spans="1:8" x14ac:dyDescent="0.2">
      <c r="A246"/>
      <c r="B246"/>
      <c r="C246"/>
      <c r="D246"/>
      <c r="E246"/>
      <c r="F246"/>
      <c r="G246"/>
      <c r="H246"/>
    </row>
    <row r="247" spans="1:8" x14ac:dyDescent="0.2">
      <c r="A247"/>
      <c r="B247"/>
      <c r="C247"/>
      <c r="D247"/>
      <c r="E247"/>
      <c r="F247"/>
      <c r="G247"/>
      <c r="H247"/>
    </row>
    <row r="248" spans="1:8" x14ac:dyDescent="0.2">
      <c r="A248"/>
      <c r="B248"/>
      <c r="C248"/>
      <c r="D248"/>
      <c r="E248"/>
      <c r="F248"/>
      <c r="G248"/>
      <c r="H248"/>
    </row>
    <row r="249" spans="1:8" x14ac:dyDescent="0.2">
      <c r="A249"/>
      <c r="B249"/>
      <c r="C249"/>
      <c r="D249"/>
      <c r="E249"/>
      <c r="F249"/>
      <c r="G249"/>
      <c r="H249"/>
    </row>
    <row r="250" spans="1:8" x14ac:dyDescent="0.2">
      <c r="A250"/>
      <c r="B250"/>
      <c r="C250"/>
      <c r="D250"/>
      <c r="E250"/>
      <c r="F250"/>
      <c r="G250"/>
      <c r="H250"/>
    </row>
    <row r="251" spans="1:8" x14ac:dyDescent="0.2">
      <c r="A251"/>
      <c r="B251"/>
      <c r="C251"/>
      <c r="D251"/>
      <c r="E251"/>
      <c r="F251"/>
      <c r="G251"/>
      <c r="H251"/>
    </row>
    <row r="252" spans="1:8" x14ac:dyDescent="0.2">
      <c r="A252"/>
      <c r="B252"/>
      <c r="C252"/>
      <c r="D252"/>
      <c r="E252"/>
      <c r="F252"/>
      <c r="G252"/>
      <c r="H252"/>
    </row>
    <row r="253" spans="1:8" x14ac:dyDescent="0.2">
      <c r="A253"/>
      <c r="B253"/>
      <c r="C253"/>
      <c r="D253"/>
      <c r="E253"/>
      <c r="F253"/>
      <c r="G253"/>
      <c r="H253"/>
    </row>
    <row r="254" spans="1:8" x14ac:dyDescent="0.2">
      <c r="A254"/>
      <c r="B254"/>
      <c r="C254"/>
      <c r="D254"/>
      <c r="E254"/>
      <c r="F254"/>
      <c r="G254"/>
      <c r="H254"/>
    </row>
    <row r="255" spans="1:8" x14ac:dyDescent="0.2">
      <c r="A255"/>
      <c r="B255"/>
      <c r="C255"/>
      <c r="D255"/>
      <c r="E255"/>
      <c r="F255"/>
      <c r="G255"/>
      <c r="H255"/>
    </row>
    <row r="256" spans="1:8" x14ac:dyDescent="0.2">
      <c r="A256"/>
      <c r="B256"/>
      <c r="C256"/>
      <c r="D256"/>
      <c r="E256"/>
      <c r="F256"/>
      <c r="G256"/>
      <c r="H256"/>
    </row>
    <row r="257" spans="1:8" x14ac:dyDescent="0.2">
      <c r="A257"/>
      <c r="B257"/>
      <c r="C257"/>
      <c r="D257"/>
      <c r="E257"/>
      <c r="F257"/>
      <c r="G257"/>
      <c r="H257"/>
    </row>
    <row r="258" spans="1:8" x14ac:dyDescent="0.2">
      <c r="A258"/>
      <c r="B258"/>
      <c r="C258"/>
      <c r="D258"/>
      <c r="E258"/>
      <c r="F258"/>
      <c r="G258"/>
      <c r="H258"/>
    </row>
    <row r="259" spans="1:8" x14ac:dyDescent="0.2">
      <c r="A259"/>
      <c r="B259"/>
      <c r="C259"/>
      <c r="D259"/>
      <c r="E259"/>
      <c r="F259"/>
      <c r="G259"/>
      <c r="H259"/>
    </row>
    <row r="260" spans="1:8" x14ac:dyDescent="0.2">
      <c r="A260"/>
      <c r="B260"/>
      <c r="C260"/>
      <c r="D260"/>
      <c r="E260"/>
      <c r="F260"/>
      <c r="G260"/>
      <c r="H260"/>
    </row>
    <row r="261" spans="1:8" x14ac:dyDescent="0.2">
      <c r="A261"/>
      <c r="B261"/>
      <c r="C261"/>
      <c r="D261"/>
      <c r="E261"/>
      <c r="F261"/>
      <c r="G261"/>
      <c r="H261"/>
    </row>
    <row r="262" spans="1:8" x14ac:dyDescent="0.2">
      <c r="A262"/>
      <c r="B262"/>
      <c r="C262"/>
      <c r="D262"/>
      <c r="E262"/>
      <c r="F262"/>
      <c r="G262"/>
      <c r="H262"/>
    </row>
    <row r="263" spans="1:8" x14ac:dyDescent="0.2">
      <c r="A263"/>
      <c r="B263"/>
      <c r="C263"/>
      <c r="D263"/>
      <c r="E263"/>
      <c r="F263"/>
      <c r="G263"/>
      <c r="H263"/>
    </row>
    <row r="264" spans="1:8" x14ac:dyDescent="0.2">
      <c r="A264"/>
      <c r="B264"/>
      <c r="C264"/>
      <c r="D264"/>
      <c r="E264"/>
      <c r="F264"/>
      <c r="G264"/>
      <c r="H264"/>
    </row>
    <row r="265" spans="1:8" x14ac:dyDescent="0.2">
      <c r="A265"/>
      <c r="B265"/>
      <c r="C265"/>
      <c r="D265"/>
      <c r="E265"/>
      <c r="F265"/>
      <c r="G265"/>
      <c r="H265"/>
    </row>
    <row r="266" spans="1:8" x14ac:dyDescent="0.2">
      <c r="A266"/>
      <c r="B266"/>
      <c r="C266"/>
      <c r="D266"/>
      <c r="E266"/>
      <c r="F266"/>
      <c r="G266"/>
      <c r="H266"/>
    </row>
    <row r="267" spans="1:8" x14ac:dyDescent="0.2">
      <c r="A267"/>
      <c r="B267"/>
      <c r="C267"/>
      <c r="D267"/>
      <c r="E267"/>
      <c r="F267"/>
      <c r="G267"/>
      <c r="H267"/>
    </row>
    <row r="268" spans="1:8" x14ac:dyDescent="0.2">
      <c r="A268"/>
      <c r="B268"/>
      <c r="C268"/>
      <c r="D268"/>
      <c r="E268"/>
      <c r="F268"/>
      <c r="G268"/>
      <c r="H268"/>
    </row>
    <row r="269" spans="1:8" x14ac:dyDescent="0.2">
      <c r="A269"/>
      <c r="B269"/>
      <c r="C269"/>
      <c r="D269"/>
      <c r="E269"/>
      <c r="F269"/>
      <c r="G269"/>
      <c r="H269"/>
    </row>
    <row r="270" spans="1:8" x14ac:dyDescent="0.2">
      <c r="A270"/>
      <c r="B270"/>
      <c r="C270"/>
      <c r="D270"/>
      <c r="E270"/>
      <c r="F270"/>
      <c r="G270"/>
      <c r="H270"/>
    </row>
    <row r="271" spans="1:8" x14ac:dyDescent="0.2">
      <c r="A271"/>
      <c r="B271"/>
      <c r="C271"/>
      <c r="D271"/>
      <c r="E271"/>
      <c r="F271"/>
      <c r="G271"/>
      <c r="H271"/>
    </row>
    <row r="272" spans="1:8" x14ac:dyDescent="0.2">
      <c r="A272"/>
      <c r="B272"/>
      <c r="C272"/>
      <c r="D272"/>
      <c r="E272"/>
      <c r="F272"/>
      <c r="G272"/>
      <c r="H272"/>
    </row>
    <row r="273" spans="1:8" x14ac:dyDescent="0.2">
      <c r="A273"/>
      <c r="B273"/>
      <c r="C273"/>
      <c r="D273"/>
      <c r="E273"/>
      <c r="F273"/>
      <c r="G273"/>
      <c r="H273"/>
    </row>
    <row r="274" spans="1:8" x14ac:dyDescent="0.2">
      <c r="A274"/>
      <c r="B274"/>
      <c r="C274"/>
      <c r="D274"/>
      <c r="E274"/>
      <c r="F274"/>
      <c r="G274"/>
      <c r="H274"/>
    </row>
    <row r="275" spans="1:8" x14ac:dyDescent="0.2">
      <c r="A275"/>
      <c r="B275"/>
      <c r="C275"/>
      <c r="D275"/>
      <c r="E275"/>
      <c r="F275"/>
      <c r="G275"/>
      <c r="H275"/>
    </row>
    <row r="276" spans="1:8" x14ac:dyDescent="0.2">
      <c r="A276"/>
      <c r="B276"/>
      <c r="C276"/>
      <c r="D276"/>
      <c r="E276"/>
      <c r="F276"/>
      <c r="G276"/>
      <c r="H276"/>
    </row>
    <row r="277" spans="1:8" x14ac:dyDescent="0.2">
      <c r="A277"/>
      <c r="B277"/>
      <c r="C277"/>
      <c r="D277"/>
      <c r="E277"/>
      <c r="F277"/>
      <c r="G277"/>
      <c r="H277"/>
    </row>
    <row r="278" spans="1:8" x14ac:dyDescent="0.2">
      <c r="A278"/>
      <c r="B278"/>
      <c r="C278"/>
      <c r="D278"/>
      <c r="E278"/>
      <c r="F278"/>
      <c r="G278"/>
      <c r="H278"/>
    </row>
    <row r="279" spans="1:8" x14ac:dyDescent="0.2">
      <c r="A279"/>
      <c r="B279"/>
      <c r="C279"/>
      <c r="D279"/>
      <c r="E279"/>
      <c r="F279"/>
      <c r="G279"/>
      <c r="H279"/>
    </row>
    <row r="280" spans="1:8" x14ac:dyDescent="0.2">
      <c r="A280"/>
      <c r="B280"/>
      <c r="C280"/>
      <c r="D280"/>
      <c r="E280"/>
      <c r="F280"/>
      <c r="G280"/>
      <c r="H280"/>
    </row>
    <row r="281" spans="1:8" x14ac:dyDescent="0.2">
      <c r="A281"/>
      <c r="B281"/>
      <c r="C281"/>
      <c r="D281"/>
      <c r="E281"/>
      <c r="F281"/>
      <c r="G281"/>
      <c r="H281"/>
    </row>
    <row r="282" spans="1:8" x14ac:dyDescent="0.2">
      <c r="A282"/>
      <c r="B282"/>
      <c r="C282"/>
      <c r="D282"/>
      <c r="E282"/>
      <c r="F282"/>
      <c r="G282"/>
      <c r="H282"/>
    </row>
    <row r="283" spans="1:8" x14ac:dyDescent="0.2">
      <c r="A283"/>
      <c r="B283"/>
      <c r="C283"/>
      <c r="D283"/>
      <c r="E283"/>
      <c r="F283"/>
      <c r="G283"/>
      <c r="H283"/>
    </row>
    <row r="284" spans="1:8" x14ac:dyDescent="0.2">
      <c r="A284"/>
      <c r="B284"/>
      <c r="C284"/>
      <c r="D284"/>
      <c r="E284"/>
      <c r="F284"/>
      <c r="G284"/>
      <c r="H284"/>
    </row>
    <row r="285" spans="1:8" x14ac:dyDescent="0.2">
      <c r="A285"/>
      <c r="B285"/>
      <c r="C285"/>
      <c r="D285"/>
      <c r="E285"/>
      <c r="F285"/>
      <c r="G285"/>
      <c r="H285"/>
    </row>
    <row r="286" spans="1:8" x14ac:dyDescent="0.2">
      <c r="A286"/>
      <c r="B286"/>
      <c r="C286"/>
      <c r="D286"/>
      <c r="E286"/>
      <c r="F286"/>
      <c r="G286"/>
      <c r="H286"/>
    </row>
    <row r="287" spans="1:8" x14ac:dyDescent="0.2">
      <c r="A287"/>
      <c r="B287"/>
      <c r="C287"/>
      <c r="D287"/>
      <c r="E287"/>
      <c r="F287"/>
      <c r="G287"/>
      <c r="H287"/>
    </row>
    <row r="288" spans="1:8" x14ac:dyDescent="0.2">
      <c r="A288"/>
      <c r="B288"/>
      <c r="C288"/>
      <c r="D288"/>
      <c r="E288"/>
      <c r="F288"/>
      <c r="G288"/>
      <c r="H288"/>
    </row>
    <row r="289" spans="1:8" x14ac:dyDescent="0.2">
      <c r="A289"/>
      <c r="B289"/>
      <c r="C289"/>
      <c r="D289"/>
      <c r="E289"/>
      <c r="F289"/>
      <c r="G289"/>
      <c r="H289"/>
    </row>
    <row r="290" spans="1:8" x14ac:dyDescent="0.2">
      <c r="A290"/>
      <c r="B290"/>
      <c r="C290"/>
      <c r="D290"/>
      <c r="E290"/>
      <c r="F290"/>
      <c r="G290"/>
      <c r="H290"/>
    </row>
    <row r="291" spans="1:8" x14ac:dyDescent="0.2">
      <c r="A291"/>
      <c r="B291"/>
      <c r="C291"/>
      <c r="D291"/>
      <c r="E291"/>
      <c r="F291"/>
      <c r="G291"/>
      <c r="H291"/>
    </row>
    <row r="292" spans="1:8" x14ac:dyDescent="0.2">
      <c r="A292"/>
      <c r="B292"/>
      <c r="C292"/>
      <c r="D292"/>
      <c r="E292"/>
      <c r="F292"/>
      <c r="G292"/>
      <c r="H292"/>
    </row>
    <row r="293" spans="1:8" x14ac:dyDescent="0.2">
      <c r="A293"/>
      <c r="B293"/>
      <c r="C293"/>
      <c r="D293"/>
      <c r="E293"/>
      <c r="F293"/>
      <c r="G293"/>
      <c r="H293"/>
    </row>
    <row r="294" spans="1:8" x14ac:dyDescent="0.2">
      <c r="A294"/>
      <c r="B294"/>
      <c r="C294"/>
      <c r="D294"/>
      <c r="E294"/>
      <c r="F294"/>
      <c r="G294"/>
      <c r="H294"/>
    </row>
    <row r="295" spans="1:8" x14ac:dyDescent="0.2">
      <c r="A295"/>
      <c r="B295"/>
      <c r="C295"/>
      <c r="D295"/>
      <c r="E295"/>
      <c r="F295"/>
      <c r="G295"/>
      <c r="H295"/>
    </row>
    <row r="296" spans="1:8" x14ac:dyDescent="0.2">
      <c r="A296"/>
      <c r="B296"/>
      <c r="C296"/>
      <c r="D296"/>
      <c r="E296"/>
      <c r="F296"/>
      <c r="G296"/>
      <c r="H296"/>
    </row>
    <row r="297" spans="1:8" x14ac:dyDescent="0.2">
      <c r="A297"/>
      <c r="B297"/>
      <c r="C297"/>
      <c r="D297"/>
      <c r="E297"/>
      <c r="F297"/>
      <c r="G297"/>
      <c r="H297"/>
    </row>
    <row r="298" spans="1:8" x14ac:dyDescent="0.2">
      <c r="A298"/>
      <c r="B298"/>
      <c r="C298"/>
      <c r="D298"/>
      <c r="E298"/>
      <c r="F298"/>
      <c r="G298"/>
      <c r="H298"/>
    </row>
    <row r="299" spans="1:8" x14ac:dyDescent="0.2">
      <c r="A299"/>
      <c r="B299"/>
      <c r="C299"/>
      <c r="D299"/>
      <c r="E299"/>
      <c r="F299"/>
      <c r="G299"/>
      <c r="H299"/>
    </row>
    <row r="300" spans="1:8" x14ac:dyDescent="0.2">
      <c r="A300"/>
      <c r="B300"/>
      <c r="C300"/>
      <c r="D300"/>
      <c r="E300"/>
      <c r="F300"/>
      <c r="G300"/>
      <c r="H300"/>
    </row>
    <row r="301" spans="1:8" x14ac:dyDescent="0.2">
      <c r="A301"/>
      <c r="B301"/>
      <c r="C301"/>
      <c r="D301"/>
      <c r="E301"/>
      <c r="F301"/>
      <c r="G301"/>
      <c r="H301"/>
    </row>
    <row r="302" spans="1:8" x14ac:dyDescent="0.2">
      <c r="A302"/>
      <c r="B302"/>
      <c r="C302"/>
      <c r="D302"/>
      <c r="E302"/>
      <c r="F302"/>
      <c r="G302"/>
      <c r="H302"/>
    </row>
    <row r="303" spans="1:8" x14ac:dyDescent="0.2">
      <c r="A303"/>
      <c r="B303"/>
      <c r="C303"/>
      <c r="D303"/>
      <c r="E303"/>
      <c r="F303"/>
      <c r="G303"/>
      <c r="H303"/>
    </row>
    <row r="304" spans="1:8" x14ac:dyDescent="0.2">
      <c r="A304"/>
      <c r="B304"/>
      <c r="C304"/>
      <c r="D304"/>
      <c r="E304"/>
      <c r="F304"/>
      <c r="G304"/>
      <c r="H304"/>
    </row>
    <row r="305" spans="1:8" x14ac:dyDescent="0.2">
      <c r="A305"/>
      <c r="B305"/>
      <c r="C305"/>
      <c r="D305"/>
      <c r="E305"/>
      <c r="F305"/>
      <c r="G305"/>
      <c r="H305"/>
    </row>
    <row r="306" spans="1:8" x14ac:dyDescent="0.2">
      <c r="A306"/>
      <c r="B306"/>
      <c r="C306"/>
      <c r="D306"/>
      <c r="E306"/>
      <c r="F306"/>
      <c r="G306"/>
      <c r="H306"/>
    </row>
    <row r="307" spans="1:8" x14ac:dyDescent="0.2">
      <c r="A307"/>
      <c r="B307"/>
      <c r="C307"/>
      <c r="D307"/>
      <c r="E307"/>
      <c r="F307"/>
      <c r="G307"/>
      <c r="H307"/>
    </row>
    <row r="308" spans="1:8" x14ac:dyDescent="0.2">
      <c r="A308"/>
      <c r="B308"/>
      <c r="C308"/>
      <c r="D308"/>
      <c r="E308"/>
      <c r="F308"/>
      <c r="G308"/>
      <c r="H308"/>
    </row>
    <row r="309" spans="1:8" x14ac:dyDescent="0.2">
      <c r="A309"/>
      <c r="B309"/>
      <c r="C309"/>
      <c r="D309"/>
      <c r="E309"/>
      <c r="F309"/>
      <c r="G309"/>
      <c r="H309"/>
    </row>
    <row r="310" spans="1:8" x14ac:dyDescent="0.2">
      <c r="A310"/>
      <c r="B310"/>
      <c r="C310"/>
      <c r="D310"/>
      <c r="E310"/>
      <c r="F310"/>
      <c r="G310"/>
      <c r="H310"/>
    </row>
    <row r="311" spans="1:8" x14ac:dyDescent="0.2">
      <c r="A311"/>
      <c r="B311"/>
      <c r="C311"/>
      <c r="D311"/>
      <c r="E311"/>
      <c r="F311"/>
      <c r="G311"/>
      <c r="H311"/>
    </row>
    <row r="312" spans="1:8" x14ac:dyDescent="0.2">
      <c r="A312"/>
      <c r="B312"/>
      <c r="C312"/>
      <c r="D312"/>
      <c r="E312"/>
      <c r="F312"/>
      <c r="G312"/>
      <c r="H312"/>
    </row>
    <row r="313" spans="1:8" x14ac:dyDescent="0.2">
      <c r="A313"/>
      <c r="B313"/>
      <c r="C313"/>
      <c r="D313"/>
      <c r="E313"/>
      <c r="F313"/>
      <c r="G313"/>
      <c r="H313"/>
    </row>
    <row r="314" spans="1:8" x14ac:dyDescent="0.2">
      <c r="A314"/>
      <c r="B314"/>
      <c r="C314"/>
      <c r="D314"/>
      <c r="E314"/>
      <c r="F314"/>
      <c r="G314"/>
      <c r="H314"/>
    </row>
    <row r="315" spans="1:8" x14ac:dyDescent="0.2">
      <c r="A315"/>
      <c r="B315"/>
      <c r="C315"/>
      <c r="D315"/>
      <c r="E315"/>
      <c r="F315"/>
      <c r="G315"/>
      <c r="H315"/>
    </row>
    <row r="316" spans="1:8" x14ac:dyDescent="0.2">
      <c r="A316"/>
      <c r="B316"/>
      <c r="C316"/>
      <c r="D316"/>
      <c r="E316"/>
      <c r="F316"/>
      <c r="G316"/>
      <c r="H316"/>
    </row>
    <row r="317" spans="1:8" x14ac:dyDescent="0.2">
      <c r="A317"/>
      <c r="B317"/>
      <c r="C317"/>
      <c r="D317"/>
      <c r="E317"/>
      <c r="F317"/>
      <c r="G317"/>
      <c r="H317"/>
    </row>
    <row r="318" spans="1:8" x14ac:dyDescent="0.2">
      <c r="A318"/>
      <c r="B318"/>
      <c r="C318"/>
      <c r="D318"/>
      <c r="E318"/>
      <c r="F318"/>
      <c r="G318"/>
      <c r="H318"/>
    </row>
    <row r="319" spans="1:8" x14ac:dyDescent="0.2">
      <c r="A319"/>
      <c r="B319"/>
      <c r="C319"/>
      <c r="D319"/>
      <c r="E319"/>
      <c r="F319"/>
      <c r="G319"/>
      <c r="H319"/>
    </row>
    <row r="320" spans="1:8" x14ac:dyDescent="0.2">
      <c r="A320"/>
      <c r="B320"/>
      <c r="C320"/>
      <c r="D320"/>
      <c r="E320"/>
      <c r="F320"/>
      <c r="G320"/>
      <c r="H320"/>
    </row>
    <row r="321" spans="1:8" x14ac:dyDescent="0.2">
      <c r="A321"/>
      <c r="B321"/>
      <c r="C321"/>
      <c r="D321"/>
      <c r="E321"/>
      <c r="F321"/>
      <c r="G321"/>
      <c r="H321"/>
    </row>
    <row r="322" spans="1:8" x14ac:dyDescent="0.2">
      <c r="A322"/>
      <c r="B322"/>
      <c r="C322"/>
      <c r="D322"/>
      <c r="E322"/>
      <c r="F322"/>
      <c r="G322"/>
      <c r="H322"/>
    </row>
    <row r="323" spans="1:8" x14ac:dyDescent="0.2">
      <c r="A323"/>
      <c r="B323"/>
      <c r="C323"/>
      <c r="D323"/>
      <c r="E323"/>
      <c r="F323"/>
      <c r="G323"/>
      <c r="H323"/>
    </row>
    <row r="324" spans="1:8" x14ac:dyDescent="0.2">
      <c r="A324"/>
      <c r="B324"/>
      <c r="C324"/>
      <c r="D324"/>
      <c r="E324"/>
      <c r="F324"/>
      <c r="G324"/>
      <c r="H324"/>
    </row>
    <row r="325" spans="1:8" x14ac:dyDescent="0.2">
      <c r="A325"/>
      <c r="B325"/>
      <c r="C325"/>
      <c r="D325"/>
      <c r="E325"/>
      <c r="F325"/>
      <c r="G325"/>
      <c r="H325"/>
    </row>
    <row r="326" spans="1:8" x14ac:dyDescent="0.2">
      <c r="A326"/>
      <c r="B326"/>
      <c r="C326"/>
      <c r="D326"/>
      <c r="E326"/>
      <c r="F326"/>
      <c r="G326"/>
      <c r="H326"/>
    </row>
    <row r="327" spans="1:8" x14ac:dyDescent="0.2">
      <c r="A327"/>
      <c r="B327"/>
      <c r="C327"/>
      <c r="D327"/>
      <c r="E327"/>
      <c r="F327"/>
      <c r="G327"/>
      <c r="H327"/>
    </row>
    <row r="328" spans="1:8" x14ac:dyDescent="0.2">
      <c r="A328"/>
      <c r="B328"/>
      <c r="C328"/>
      <c r="D328"/>
      <c r="E328"/>
      <c r="F328"/>
      <c r="G328"/>
      <c r="H328"/>
    </row>
    <row r="329" spans="1:8" x14ac:dyDescent="0.2">
      <c r="A329"/>
      <c r="B329"/>
      <c r="C329"/>
      <c r="D329"/>
      <c r="E329"/>
      <c r="F329"/>
      <c r="G329"/>
      <c r="H329"/>
    </row>
    <row r="330" spans="1:8" x14ac:dyDescent="0.2">
      <c r="A330"/>
      <c r="B330"/>
      <c r="C330"/>
      <c r="D330"/>
      <c r="E330"/>
      <c r="F330"/>
      <c r="G330"/>
      <c r="H330"/>
    </row>
    <row r="331" spans="1:8" x14ac:dyDescent="0.2">
      <c r="A331"/>
      <c r="B331"/>
      <c r="C331"/>
      <c r="D331"/>
      <c r="E331"/>
      <c r="F331"/>
      <c r="G331"/>
      <c r="H331"/>
    </row>
    <row r="332" spans="1:8" x14ac:dyDescent="0.2">
      <c r="A332"/>
      <c r="B332"/>
      <c r="C332"/>
      <c r="D332"/>
      <c r="E332"/>
      <c r="F332"/>
      <c r="G332"/>
      <c r="H332"/>
    </row>
    <row r="333" spans="1:8" x14ac:dyDescent="0.2">
      <c r="A333"/>
      <c r="B333"/>
      <c r="C333"/>
      <c r="D333"/>
      <c r="E333"/>
      <c r="F333"/>
      <c r="G333"/>
      <c r="H333"/>
    </row>
    <row r="334" spans="1:8" x14ac:dyDescent="0.2">
      <c r="A334"/>
      <c r="B334"/>
      <c r="C334"/>
      <c r="D334"/>
      <c r="E334"/>
      <c r="F334"/>
      <c r="G334"/>
      <c r="H334"/>
    </row>
    <row r="335" spans="1:8" x14ac:dyDescent="0.2">
      <c r="A335"/>
      <c r="B335"/>
      <c r="C335"/>
      <c r="D335"/>
      <c r="E335"/>
      <c r="F335"/>
      <c r="G335"/>
      <c r="H335"/>
    </row>
    <row r="336" spans="1:8" x14ac:dyDescent="0.2">
      <c r="A336"/>
      <c r="B336"/>
      <c r="C336"/>
      <c r="D336"/>
      <c r="E336"/>
      <c r="F336"/>
      <c r="G336"/>
      <c r="H336"/>
    </row>
    <row r="337" spans="1:8" x14ac:dyDescent="0.2">
      <c r="A337"/>
      <c r="B337"/>
      <c r="C337"/>
      <c r="D337"/>
      <c r="E337"/>
      <c r="F337"/>
      <c r="G337"/>
      <c r="H337"/>
    </row>
    <row r="338" spans="1:8" x14ac:dyDescent="0.2">
      <c r="A338"/>
      <c r="B338"/>
      <c r="C338"/>
      <c r="D338"/>
      <c r="E338"/>
      <c r="F338"/>
      <c r="G338"/>
      <c r="H338"/>
    </row>
    <row r="339" spans="1:8" x14ac:dyDescent="0.2">
      <c r="A339"/>
      <c r="B339"/>
      <c r="C339"/>
      <c r="D339"/>
      <c r="E339"/>
      <c r="F339"/>
      <c r="G339"/>
      <c r="H339"/>
    </row>
    <row r="340" spans="1:8" x14ac:dyDescent="0.2">
      <c r="A340"/>
      <c r="B340"/>
      <c r="C340"/>
      <c r="D340"/>
      <c r="E340"/>
      <c r="F340"/>
      <c r="G340"/>
      <c r="H340"/>
    </row>
    <row r="341" spans="1:8" x14ac:dyDescent="0.2">
      <c r="A341"/>
      <c r="B341"/>
      <c r="C341"/>
      <c r="D341"/>
      <c r="E341"/>
      <c r="F341"/>
      <c r="G341"/>
      <c r="H341"/>
    </row>
    <row r="342" spans="1:8" x14ac:dyDescent="0.2">
      <c r="A342"/>
      <c r="B342"/>
      <c r="C342"/>
      <c r="D342"/>
      <c r="E342"/>
      <c r="F342"/>
      <c r="G342"/>
      <c r="H342"/>
    </row>
    <row r="343" spans="1:8" x14ac:dyDescent="0.2">
      <c r="A343"/>
      <c r="B343"/>
      <c r="C343"/>
      <c r="D343"/>
      <c r="E343"/>
      <c r="F343"/>
      <c r="G343"/>
      <c r="H343"/>
    </row>
    <row r="344" spans="1:8" x14ac:dyDescent="0.2">
      <c r="A344"/>
      <c r="B344"/>
      <c r="C344"/>
      <c r="D344"/>
      <c r="E344"/>
      <c r="F344"/>
      <c r="G344"/>
      <c r="H344"/>
    </row>
    <row r="345" spans="1:8" x14ac:dyDescent="0.2">
      <c r="A345"/>
      <c r="B345"/>
      <c r="C345"/>
      <c r="D345"/>
      <c r="E345"/>
      <c r="F345"/>
      <c r="G345"/>
      <c r="H345"/>
    </row>
    <row r="346" spans="1:8" x14ac:dyDescent="0.2">
      <c r="A346"/>
      <c r="B346"/>
      <c r="C346"/>
      <c r="D346"/>
      <c r="E346"/>
      <c r="F346"/>
      <c r="G346"/>
      <c r="H346"/>
    </row>
    <row r="347" spans="1:8" x14ac:dyDescent="0.2">
      <c r="A347"/>
      <c r="B347"/>
      <c r="C347"/>
      <c r="D347"/>
      <c r="E347"/>
      <c r="F347"/>
      <c r="G347"/>
      <c r="H347"/>
    </row>
    <row r="348" spans="1:8" x14ac:dyDescent="0.2">
      <c r="A348"/>
      <c r="B348"/>
      <c r="C348"/>
      <c r="D348"/>
      <c r="E348"/>
      <c r="F348"/>
      <c r="G348"/>
      <c r="H348"/>
    </row>
    <row r="349" spans="1:8" x14ac:dyDescent="0.2">
      <c r="A349"/>
      <c r="B349"/>
      <c r="C349"/>
      <c r="D349"/>
      <c r="E349"/>
      <c r="F349"/>
      <c r="G349"/>
      <c r="H349"/>
    </row>
    <row r="350" spans="1:8" x14ac:dyDescent="0.2">
      <c r="A350"/>
      <c r="B350"/>
      <c r="C350"/>
      <c r="D350"/>
      <c r="E350"/>
      <c r="F350"/>
      <c r="G350"/>
      <c r="H350"/>
    </row>
    <row r="351" spans="1:8" x14ac:dyDescent="0.2">
      <c r="A351"/>
      <c r="B351"/>
      <c r="C351"/>
      <c r="D351"/>
      <c r="E351"/>
      <c r="F351"/>
      <c r="G351"/>
      <c r="H351"/>
    </row>
    <row r="352" spans="1:8" x14ac:dyDescent="0.2">
      <c r="A352"/>
      <c r="B352"/>
      <c r="C352"/>
      <c r="D352"/>
      <c r="E352"/>
      <c r="F352"/>
      <c r="G352"/>
      <c r="H352"/>
    </row>
    <row r="353" spans="1:8" x14ac:dyDescent="0.2">
      <c r="A353"/>
      <c r="B353"/>
      <c r="C353"/>
      <c r="D353"/>
      <c r="E353"/>
      <c r="F353"/>
      <c r="G353"/>
      <c r="H353"/>
    </row>
    <row r="354" spans="1:8" x14ac:dyDescent="0.2">
      <c r="A354"/>
      <c r="B354"/>
      <c r="C354"/>
      <c r="D354"/>
      <c r="E354"/>
      <c r="F354"/>
      <c r="G354"/>
      <c r="H354"/>
    </row>
    <row r="355" spans="1:8" x14ac:dyDescent="0.2">
      <c r="A355"/>
      <c r="B355"/>
      <c r="C355"/>
      <c r="D355"/>
      <c r="E355"/>
      <c r="F355"/>
      <c r="G355"/>
      <c r="H355"/>
    </row>
    <row r="356" spans="1:8" x14ac:dyDescent="0.2">
      <c r="A356"/>
      <c r="B356"/>
      <c r="C356"/>
      <c r="D356"/>
      <c r="E356"/>
      <c r="F356"/>
      <c r="G356"/>
      <c r="H356"/>
    </row>
    <row r="357" spans="1:8" x14ac:dyDescent="0.2">
      <c r="A357"/>
      <c r="B357"/>
      <c r="C357"/>
      <c r="D357"/>
      <c r="E357"/>
      <c r="F357"/>
      <c r="G357"/>
      <c r="H357"/>
    </row>
    <row r="358" spans="1:8" x14ac:dyDescent="0.2">
      <c r="A358"/>
      <c r="B358"/>
      <c r="C358"/>
      <c r="D358"/>
      <c r="E358"/>
      <c r="F358"/>
      <c r="G358"/>
      <c r="H358"/>
    </row>
    <row r="359" spans="1:8" x14ac:dyDescent="0.2">
      <c r="A359"/>
      <c r="B359"/>
      <c r="C359"/>
      <c r="D359"/>
      <c r="E359"/>
      <c r="F359"/>
      <c r="G359"/>
      <c r="H359"/>
    </row>
    <row r="360" spans="1:8" x14ac:dyDescent="0.2">
      <c r="A360"/>
      <c r="B360"/>
      <c r="C360"/>
      <c r="D360"/>
      <c r="E360"/>
      <c r="F360"/>
      <c r="G360"/>
      <c r="H360"/>
    </row>
    <row r="361" spans="1:8" x14ac:dyDescent="0.2">
      <c r="A361"/>
      <c r="B361"/>
      <c r="C361"/>
      <c r="D361"/>
      <c r="E361"/>
      <c r="F361"/>
      <c r="G361"/>
      <c r="H361"/>
    </row>
    <row r="362" spans="1:8" x14ac:dyDescent="0.2">
      <c r="A362"/>
      <c r="B362"/>
      <c r="C362"/>
      <c r="D362"/>
      <c r="E362"/>
      <c r="F362"/>
      <c r="G362"/>
      <c r="H362"/>
    </row>
    <row r="363" spans="1:8" x14ac:dyDescent="0.2">
      <c r="A363"/>
      <c r="B363"/>
      <c r="C363"/>
      <c r="D363"/>
      <c r="E363"/>
      <c r="F363"/>
      <c r="G363"/>
      <c r="H363"/>
    </row>
    <row r="364" spans="1:8" x14ac:dyDescent="0.2">
      <c r="A364"/>
      <c r="B364"/>
      <c r="C364"/>
      <c r="D364"/>
      <c r="E364"/>
      <c r="F364"/>
      <c r="G364"/>
      <c r="H364"/>
    </row>
    <row r="365" spans="1:8" x14ac:dyDescent="0.2">
      <c r="A365"/>
      <c r="B365"/>
      <c r="C365"/>
      <c r="D365"/>
      <c r="E365"/>
      <c r="F365"/>
      <c r="G365"/>
      <c r="H365"/>
    </row>
    <row r="366" spans="1:8" x14ac:dyDescent="0.2">
      <c r="A366"/>
      <c r="B366"/>
      <c r="C366"/>
      <c r="D366"/>
      <c r="E366"/>
      <c r="F366"/>
      <c r="G366"/>
      <c r="H366"/>
    </row>
    <row r="367" spans="1:8" x14ac:dyDescent="0.2">
      <c r="A367"/>
      <c r="B367"/>
      <c r="C367"/>
      <c r="D367"/>
      <c r="E367"/>
      <c r="F367"/>
      <c r="G367"/>
      <c r="H367"/>
    </row>
    <row r="368" spans="1:8" x14ac:dyDescent="0.2">
      <c r="A368"/>
      <c r="B368"/>
      <c r="C368"/>
      <c r="D368"/>
      <c r="E368"/>
      <c r="F368"/>
      <c r="G368"/>
      <c r="H368"/>
    </row>
    <row r="369" spans="1:8" x14ac:dyDescent="0.2">
      <c r="A369"/>
      <c r="B369"/>
      <c r="C369"/>
      <c r="D369"/>
      <c r="E369"/>
      <c r="F369"/>
      <c r="G369"/>
      <c r="H369"/>
    </row>
    <row r="370" spans="1:8" x14ac:dyDescent="0.2">
      <c r="A370"/>
      <c r="B370"/>
      <c r="C370"/>
      <c r="D370"/>
      <c r="E370"/>
      <c r="F370"/>
      <c r="G370"/>
      <c r="H370"/>
    </row>
    <row r="371" spans="1:8" x14ac:dyDescent="0.2">
      <c r="A371"/>
      <c r="B371"/>
      <c r="C371"/>
      <c r="D371"/>
      <c r="E371"/>
      <c r="F371"/>
      <c r="G371"/>
      <c r="H371"/>
    </row>
    <row r="372" spans="1:8" x14ac:dyDescent="0.2">
      <c r="A372"/>
      <c r="B372"/>
      <c r="C372"/>
      <c r="D372"/>
      <c r="E372"/>
      <c r="F372"/>
      <c r="G372"/>
      <c r="H372"/>
    </row>
    <row r="373" spans="1:8" x14ac:dyDescent="0.2">
      <c r="A373"/>
      <c r="B373"/>
      <c r="C373"/>
      <c r="D373"/>
      <c r="E373"/>
      <c r="F373"/>
      <c r="G373"/>
      <c r="H373"/>
    </row>
    <row r="374" spans="1:8" x14ac:dyDescent="0.2">
      <c r="A374"/>
      <c r="B374"/>
      <c r="C374"/>
      <c r="D374"/>
      <c r="E374"/>
      <c r="F374"/>
      <c r="G374"/>
      <c r="H374"/>
    </row>
    <row r="375" spans="1:8" x14ac:dyDescent="0.2">
      <c r="A375"/>
      <c r="B375"/>
      <c r="C375"/>
      <c r="D375"/>
      <c r="E375"/>
      <c r="F375"/>
      <c r="G375"/>
      <c r="H375"/>
    </row>
    <row r="376" spans="1:8" x14ac:dyDescent="0.2">
      <c r="A376"/>
      <c r="B376"/>
      <c r="C376"/>
      <c r="D376"/>
      <c r="E376"/>
      <c r="F376"/>
      <c r="G376"/>
      <c r="H376"/>
    </row>
    <row r="377" spans="1:8" x14ac:dyDescent="0.2">
      <c r="A377"/>
      <c r="B377"/>
      <c r="C377"/>
      <c r="D377"/>
      <c r="E377"/>
      <c r="F377"/>
      <c r="G377"/>
      <c r="H377"/>
    </row>
    <row r="378" spans="1:8" x14ac:dyDescent="0.2">
      <c r="A378"/>
      <c r="B378"/>
      <c r="C378"/>
      <c r="D378"/>
      <c r="E378"/>
      <c r="F378"/>
      <c r="G378"/>
      <c r="H378"/>
    </row>
    <row r="379" spans="1:8" x14ac:dyDescent="0.2">
      <c r="A379"/>
      <c r="B379"/>
      <c r="C379"/>
      <c r="D379"/>
      <c r="E379"/>
      <c r="F379"/>
      <c r="G379"/>
      <c r="H379"/>
    </row>
    <row r="380" spans="1:8" x14ac:dyDescent="0.2">
      <c r="A380"/>
      <c r="B380"/>
      <c r="C380"/>
      <c r="D380"/>
      <c r="E380"/>
      <c r="F380"/>
      <c r="G380"/>
      <c r="H380"/>
    </row>
    <row r="381" spans="1:8" x14ac:dyDescent="0.2">
      <c r="A381"/>
      <c r="B381"/>
      <c r="C381"/>
      <c r="D381"/>
      <c r="E381"/>
      <c r="F381"/>
      <c r="G381"/>
      <c r="H381"/>
    </row>
    <row r="382" spans="1:8" x14ac:dyDescent="0.2">
      <c r="A382"/>
      <c r="B382"/>
      <c r="C382"/>
      <c r="D382"/>
      <c r="E382"/>
      <c r="F382"/>
      <c r="G382"/>
      <c r="H382"/>
    </row>
    <row r="383" spans="1:8" x14ac:dyDescent="0.2">
      <c r="A383"/>
      <c r="B383"/>
      <c r="C383"/>
      <c r="D383"/>
      <c r="E383"/>
      <c r="F383"/>
      <c r="G383"/>
      <c r="H383"/>
    </row>
    <row r="384" spans="1:8" x14ac:dyDescent="0.2">
      <c r="A384"/>
      <c r="B384"/>
      <c r="C384"/>
      <c r="D384"/>
      <c r="E384"/>
      <c r="F384"/>
      <c r="G384"/>
      <c r="H384"/>
    </row>
    <row r="385" spans="1:8" x14ac:dyDescent="0.2">
      <c r="A385"/>
      <c r="B385"/>
      <c r="C385"/>
      <c r="D385"/>
      <c r="E385"/>
      <c r="F385"/>
      <c r="G385"/>
      <c r="H385"/>
    </row>
    <row r="386" spans="1:8" x14ac:dyDescent="0.2">
      <c r="A386"/>
      <c r="B386"/>
      <c r="C386"/>
      <c r="D386"/>
      <c r="E386"/>
      <c r="F386"/>
      <c r="G386"/>
      <c r="H386"/>
    </row>
    <row r="387" spans="1:8" x14ac:dyDescent="0.2">
      <c r="A387"/>
      <c r="B387"/>
      <c r="C387"/>
      <c r="D387"/>
      <c r="E387"/>
      <c r="F387"/>
      <c r="G387"/>
      <c r="H387"/>
    </row>
    <row r="388" spans="1:8" x14ac:dyDescent="0.2">
      <c r="A388"/>
      <c r="B388"/>
      <c r="C388"/>
      <c r="D388"/>
      <c r="E388"/>
      <c r="F388"/>
      <c r="G388"/>
      <c r="H388"/>
    </row>
    <row r="389" spans="1:8" x14ac:dyDescent="0.2">
      <c r="A389"/>
      <c r="B389"/>
      <c r="C389"/>
      <c r="D389"/>
      <c r="E389"/>
      <c r="F389"/>
      <c r="G389"/>
      <c r="H389"/>
    </row>
    <row r="390" spans="1:8" x14ac:dyDescent="0.2">
      <c r="A390"/>
      <c r="B390"/>
      <c r="C390"/>
      <c r="D390"/>
      <c r="E390"/>
      <c r="F390"/>
      <c r="G390"/>
      <c r="H390"/>
    </row>
    <row r="391" spans="1:8" x14ac:dyDescent="0.2">
      <c r="A391"/>
      <c r="B391"/>
      <c r="C391"/>
      <c r="D391"/>
      <c r="E391"/>
      <c r="F391"/>
      <c r="G391"/>
      <c r="H391"/>
    </row>
    <row r="392" spans="1:8" x14ac:dyDescent="0.2">
      <c r="A392"/>
      <c r="B392"/>
      <c r="C392"/>
      <c r="D392"/>
      <c r="E392"/>
      <c r="F392"/>
      <c r="G392"/>
      <c r="H392"/>
    </row>
    <row r="393" spans="1:8" x14ac:dyDescent="0.2">
      <c r="A393"/>
      <c r="B393"/>
      <c r="C393"/>
      <c r="D393"/>
      <c r="E393"/>
      <c r="F393"/>
      <c r="G393"/>
      <c r="H393"/>
    </row>
    <row r="394" spans="1:8" x14ac:dyDescent="0.2">
      <c r="A394"/>
      <c r="B394"/>
      <c r="C394"/>
      <c r="D394"/>
      <c r="E394"/>
      <c r="F394"/>
      <c r="G394"/>
      <c r="H394"/>
    </row>
    <row r="395" spans="1:8" x14ac:dyDescent="0.2">
      <c r="A395"/>
      <c r="B395"/>
      <c r="C395"/>
      <c r="D395"/>
      <c r="E395"/>
      <c r="F395"/>
      <c r="G395"/>
      <c r="H395"/>
    </row>
    <row r="396" spans="1:8" x14ac:dyDescent="0.2">
      <c r="A396"/>
      <c r="B396"/>
      <c r="C396"/>
      <c r="D396"/>
      <c r="E396"/>
      <c r="F396"/>
      <c r="G396"/>
      <c r="H396"/>
    </row>
    <row r="397" spans="1:8" x14ac:dyDescent="0.2">
      <c r="A397"/>
      <c r="B397"/>
      <c r="C397"/>
      <c r="D397"/>
      <c r="E397"/>
      <c r="F397"/>
      <c r="G397"/>
      <c r="H397"/>
    </row>
    <row r="398" spans="1:8" x14ac:dyDescent="0.2">
      <c r="A398"/>
      <c r="B398"/>
      <c r="C398"/>
      <c r="D398"/>
      <c r="E398"/>
      <c r="F398"/>
      <c r="G398"/>
      <c r="H398"/>
    </row>
    <row r="399" spans="1:8" x14ac:dyDescent="0.2">
      <c r="A399"/>
      <c r="B399"/>
      <c r="C399"/>
      <c r="D399"/>
      <c r="E399"/>
      <c r="F399"/>
      <c r="G399"/>
      <c r="H399"/>
    </row>
    <row r="400" spans="1:8" x14ac:dyDescent="0.2">
      <c r="A400"/>
      <c r="B400"/>
      <c r="C400"/>
      <c r="D400"/>
      <c r="E400"/>
      <c r="F400"/>
      <c r="G400"/>
      <c r="H400"/>
    </row>
    <row r="401" spans="1:8" x14ac:dyDescent="0.2">
      <c r="A401"/>
      <c r="B401"/>
      <c r="C401"/>
      <c r="D401"/>
      <c r="E401"/>
      <c r="F401"/>
      <c r="G401"/>
      <c r="H401"/>
    </row>
    <row r="402" spans="1:8" x14ac:dyDescent="0.2">
      <c r="A402"/>
      <c r="B402"/>
      <c r="C402"/>
      <c r="D402"/>
      <c r="E402"/>
      <c r="F402"/>
      <c r="G402"/>
      <c r="H402"/>
    </row>
    <row r="403" spans="1:8" x14ac:dyDescent="0.2">
      <c r="A403"/>
      <c r="B403"/>
      <c r="C403"/>
      <c r="D403"/>
      <c r="E403"/>
      <c r="F403"/>
      <c r="G403"/>
      <c r="H403"/>
    </row>
    <row r="404" spans="1:8" x14ac:dyDescent="0.2">
      <c r="A404"/>
      <c r="B404"/>
      <c r="C404"/>
      <c r="D404"/>
      <c r="E404"/>
      <c r="F404"/>
      <c r="G404"/>
      <c r="H404"/>
    </row>
    <row r="405" spans="1:8" x14ac:dyDescent="0.2">
      <c r="A405"/>
      <c r="B405"/>
      <c r="C405"/>
      <c r="D405"/>
      <c r="E405"/>
      <c r="F405"/>
      <c r="G405"/>
      <c r="H405"/>
    </row>
    <row r="406" spans="1:8" x14ac:dyDescent="0.2">
      <c r="A406"/>
      <c r="B406"/>
      <c r="C406"/>
      <c r="D406"/>
      <c r="E406"/>
      <c r="F406"/>
      <c r="G406"/>
      <c r="H406"/>
    </row>
    <row r="407" spans="1:8" x14ac:dyDescent="0.2">
      <c r="A407"/>
      <c r="B407"/>
      <c r="C407"/>
      <c r="D407"/>
      <c r="E407"/>
      <c r="F407"/>
      <c r="G407"/>
      <c r="H407"/>
    </row>
    <row r="408" spans="1:8" x14ac:dyDescent="0.2">
      <c r="A408"/>
      <c r="B408"/>
      <c r="C408"/>
      <c r="D408"/>
      <c r="E408"/>
      <c r="F408"/>
      <c r="G408"/>
      <c r="H408"/>
    </row>
    <row r="409" spans="1:8" x14ac:dyDescent="0.2">
      <c r="A409"/>
      <c r="B409"/>
      <c r="C409"/>
      <c r="D409"/>
      <c r="E409"/>
      <c r="F409"/>
      <c r="G409"/>
      <c r="H409"/>
    </row>
    <row r="410" spans="1:8" x14ac:dyDescent="0.2">
      <c r="A410"/>
      <c r="B410"/>
      <c r="C410"/>
      <c r="D410"/>
      <c r="E410"/>
      <c r="F410"/>
      <c r="G410"/>
      <c r="H410"/>
    </row>
    <row r="411" spans="1:8" x14ac:dyDescent="0.2">
      <c r="A411"/>
      <c r="B411"/>
      <c r="C411"/>
      <c r="D411"/>
      <c r="E411"/>
      <c r="F411"/>
      <c r="G411"/>
      <c r="H411"/>
    </row>
    <row r="412" spans="1:8" x14ac:dyDescent="0.2">
      <c r="A412"/>
      <c r="B412"/>
      <c r="C412"/>
      <c r="D412"/>
      <c r="E412"/>
      <c r="F412"/>
      <c r="G412"/>
      <c r="H412"/>
    </row>
    <row r="413" spans="1:8" x14ac:dyDescent="0.2">
      <c r="A413"/>
      <c r="B413"/>
      <c r="C413"/>
      <c r="D413"/>
      <c r="E413"/>
      <c r="F413"/>
      <c r="G413"/>
      <c r="H413"/>
    </row>
    <row r="414" spans="1:8" x14ac:dyDescent="0.2">
      <c r="A414"/>
      <c r="B414"/>
      <c r="C414"/>
      <c r="D414"/>
      <c r="E414"/>
      <c r="F414"/>
      <c r="G414"/>
      <c r="H414"/>
    </row>
    <row r="415" spans="1:8" x14ac:dyDescent="0.2">
      <c r="A415"/>
      <c r="B415"/>
      <c r="C415"/>
      <c r="D415"/>
      <c r="E415"/>
      <c r="F415"/>
      <c r="G415"/>
      <c r="H415"/>
    </row>
    <row r="416" spans="1:8" x14ac:dyDescent="0.2">
      <c r="A416"/>
      <c r="B416"/>
      <c r="C416"/>
      <c r="D416"/>
      <c r="E416"/>
      <c r="F416"/>
      <c r="G416"/>
      <c r="H416"/>
    </row>
    <row r="417" spans="1:8" x14ac:dyDescent="0.2">
      <c r="A417"/>
      <c r="B417"/>
      <c r="C417"/>
      <c r="D417"/>
      <c r="E417"/>
      <c r="F417"/>
      <c r="G417"/>
      <c r="H417"/>
    </row>
    <row r="418" spans="1:8" x14ac:dyDescent="0.2">
      <c r="A418"/>
      <c r="B418"/>
      <c r="C418"/>
      <c r="D418"/>
      <c r="E418"/>
      <c r="F418"/>
      <c r="G418"/>
      <c r="H418"/>
    </row>
    <row r="419" spans="1:8" x14ac:dyDescent="0.2">
      <c r="A419"/>
      <c r="B419"/>
      <c r="C419"/>
      <c r="D419"/>
      <c r="E419"/>
      <c r="F419"/>
      <c r="G419"/>
      <c r="H419"/>
    </row>
    <row r="420" spans="1:8" x14ac:dyDescent="0.2">
      <c r="A420"/>
      <c r="B420"/>
      <c r="C420"/>
      <c r="D420"/>
      <c r="E420"/>
      <c r="F420"/>
      <c r="G420"/>
      <c r="H420"/>
    </row>
    <row r="421" spans="1:8" x14ac:dyDescent="0.2">
      <c r="A421"/>
      <c r="B421"/>
      <c r="C421"/>
      <c r="D421"/>
      <c r="E421"/>
      <c r="F421"/>
      <c r="G421"/>
      <c r="H421"/>
    </row>
    <row r="422" spans="1:8" x14ac:dyDescent="0.2">
      <c r="A422"/>
      <c r="B422"/>
      <c r="C422"/>
      <c r="D422"/>
      <c r="E422"/>
      <c r="F422"/>
      <c r="G422"/>
      <c r="H422"/>
    </row>
    <row r="423" spans="1:8" x14ac:dyDescent="0.2">
      <c r="A423"/>
      <c r="B423"/>
      <c r="C423"/>
      <c r="D423"/>
      <c r="E423"/>
      <c r="F423"/>
      <c r="G423"/>
      <c r="H423"/>
    </row>
    <row r="424" spans="1:8" x14ac:dyDescent="0.2">
      <c r="A424"/>
      <c r="B424"/>
      <c r="C424"/>
      <c r="D424"/>
      <c r="E424"/>
      <c r="F424"/>
      <c r="G424"/>
      <c r="H424"/>
    </row>
    <row r="425" spans="1:8" x14ac:dyDescent="0.2">
      <c r="A425"/>
      <c r="B425"/>
      <c r="C425"/>
      <c r="D425"/>
      <c r="E425"/>
      <c r="F425"/>
      <c r="G425"/>
      <c r="H425"/>
    </row>
    <row r="426" spans="1:8" x14ac:dyDescent="0.2">
      <c r="A426"/>
      <c r="B426"/>
      <c r="C426"/>
      <c r="D426"/>
      <c r="E426"/>
      <c r="F426"/>
      <c r="G426"/>
      <c r="H426"/>
    </row>
    <row r="427" spans="1:8" x14ac:dyDescent="0.2">
      <c r="A427"/>
      <c r="B427"/>
      <c r="C427"/>
      <c r="D427"/>
      <c r="E427"/>
      <c r="F427"/>
      <c r="G427"/>
      <c r="H427"/>
    </row>
    <row r="428" spans="1:8" x14ac:dyDescent="0.2">
      <c r="A428"/>
      <c r="B428"/>
      <c r="C428"/>
      <c r="D428"/>
      <c r="E428"/>
      <c r="F428"/>
      <c r="G428"/>
      <c r="H428"/>
    </row>
    <row r="429" spans="1:8" x14ac:dyDescent="0.2">
      <c r="A429"/>
      <c r="B429"/>
      <c r="C429"/>
      <c r="D429"/>
      <c r="E429"/>
      <c r="F429"/>
      <c r="G429"/>
      <c r="H429"/>
    </row>
    <row r="430" spans="1:8" x14ac:dyDescent="0.2">
      <c r="A430"/>
      <c r="B430"/>
      <c r="C430"/>
      <c r="D430"/>
      <c r="E430"/>
      <c r="F430"/>
      <c r="G430"/>
      <c r="H430"/>
    </row>
    <row r="431" spans="1:8" x14ac:dyDescent="0.2">
      <c r="A431"/>
      <c r="B431"/>
      <c r="C431"/>
      <c r="D431"/>
      <c r="E431"/>
      <c r="F431"/>
      <c r="G431"/>
      <c r="H431"/>
    </row>
    <row r="432" spans="1:8" x14ac:dyDescent="0.2">
      <c r="A432"/>
      <c r="B432"/>
      <c r="C432"/>
      <c r="D432"/>
      <c r="E432"/>
      <c r="F432"/>
      <c r="G432"/>
      <c r="H432"/>
    </row>
    <row r="433" spans="1:8" x14ac:dyDescent="0.2">
      <c r="A433"/>
      <c r="B433"/>
      <c r="C433"/>
      <c r="D433"/>
      <c r="E433"/>
      <c r="F433"/>
      <c r="G433"/>
      <c r="H433"/>
    </row>
    <row r="434" spans="1:8" x14ac:dyDescent="0.2">
      <c r="A434"/>
      <c r="B434"/>
      <c r="C434"/>
      <c r="D434"/>
      <c r="E434"/>
      <c r="F434"/>
      <c r="G434"/>
      <c r="H434"/>
    </row>
    <row r="435" spans="1:8" x14ac:dyDescent="0.2">
      <c r="A435"/>
      <c r="B435"/>
      <c r="C435"/>
      <c r="D435"/>
      <c r="E435"/>
      <c r="F435"/>
      <c r="G435"/>
      <c r="H435"/>
    </row>
    <row r="436" spans="1:8" x14ac:dyDescent="0.2">
      <c r="A436"/>
      <c r="B436"/>
      <c r="C436"/>
      <c r="D436"/>
      <c r="E436"/>
      <c r="F436"/>
      <c r="G436"/>
      <c r="H436"/>
    </row>
    <row r="437" spans="1:8" x14ac:dyDescent="0.2">
      <c r="A437"/>
      <c r="B437"/>
      <c r="C437"/>
      <c r="D437"/>
      <c r="E437"/>
      <c r="F437"/>
      <c r="G437"/>
      <c r="H437"/>
    </row>
    <row r="438" spans="1:8" x14ac:dyDescent="0.2">
      <c r="A438"/>
      <c r="B438"/>
      <c r="C438"/>
      <c r="D438"/>
      <c r="E438"/>
      <c r="F438"/>
      <c r="G438"/>
      <c r="H438"/>
    </row>
    <row r="439" spans="1:8" x14ac:dyDescent="0.2">
      <c r="A439"/>
      <c r="B439"/>
      <c r="C439"/>
      <c r="D439"/>
      <c r="E439"/>
      <c r="F439"/>
      <c r="G439"/>
      <c r="H439"/>
    </row>
    <row r="440" spans="1:8" x14ac:dyDescent="0.2">
      <c r="A440"/>
      <c r="B440"/>
      <c r="C440"/>
      <c r="D440"/>
      <c r="E440"/>
      <c r="F440"/>
      <c r="G440"/>
      <c r="H440"/>
    </row>
    <row r="441" spans="1:8" x14ac:dyDescent="0.2">
      <c r="A441"/>
      <c r="B441"/>
      <c r="C441"/>
      <c r="D441"/>
      <c r="E441"/>
      <c r="F441"/>
      <c r="G441"/>
      <c r="H441"/>
    </row>
    <row r="442" spans="1:8" x14ac:dyDescent="0.2">
      <c r="A442"/>
      <c r="B442"/>
      <c r="C442"/>
      <c r="D442"/>
      <c r="E442"/>
      <c r="F442"/>
      <c r="G442"/>
      <c r="H442"/>
    </row>
    <row r="443" spans="1:8" x14ac:dyDescent="0.2">
      <c r="A443"/>
      <c r="B443"/>
      <c r="C443"/>
      <c r="D443"/>
      <c r="E443"/>
      <c r="F443"/>
      <c r="G443"/>
      <c r="H443"/>
    </row>
    <row r="444" spans="1:8" x14ac:dyDescent="0.2">
      <c r="A444"/>
      <c r="B444"/>
      <c r="C444"/>
      <c r="D444"/>
      <c r="E444"/>
      <c r="F444"/>
      <c r="G444"/>
      <c r="H444"/>
    </row>
    <row r="445" spans="1:8" x14ac:dyDescent="0.2">
      <c r="A445"/>
      <c r="B445"/>
      <c r="C445"/>
      <c r="D445"/>
      <c r="E445"/>
      <c r="F445"/>
      <c r="G445"/>
      <c r="H445"/>
    </row>
    <row r="446" spans="1:8" x14ac:dyDescent="0.2">
      <c r="A446"/>
      <c r="B446"/>
      <c r="C446"/>
      <c r="D446"/>
      <c r="E446"/>
      <c r="F446"/>
      <c r="G446"/>
      <c r="H446"/>
    </row>
    <row r="447" spans="1:8" x14ac:dyDescent="0.2">
      <c r="A447"/>
      <c r="B447"/>
      <c r="C447"/>
      <c r="D447"/>
      <c r="E447"/>
      <c r="F447"/>
      <c r="G447"/>
      <c r="H447"/>
    </row>
    <row r="448" spans="1:8" x14ac:dyDescent="0.2">
      <c r="A448"/>
      <c r="B448"/>
      <c r="C448"/>
      <c r="D448"/>
      <c r="E448"/>
      <c r="F448"/>
      <c r="G448"/>
      <c r="H448"/>
    </row>
    <row r="449" spans="1:8" x14ac:dyDescent="0.2">
      <c r="A449"/>
      <c r="B449"/>
      <c r="C449"/>
      <c r="D449"/>
      <c r="E449"/>
      <c r="F449"/>
      <c r="G449"/>
      <c r="H449"/>
    </row>
    <row r="450" spans="1:8" x14ac:dyDescent="0.2">
      <c r="A450"/>
      <c r="B450"/>
      <c r="C450"/>
      <c r="D450"/>
      <c r="E450"/>
      <c r="F450"/>
      <c r="G450"/>
      <c r="H450"/>
    </row>
    <row r="451" spans="1:8" x14ac:dyDescent="0.2">
      <c r="A451"/>
      <c r="B451"/>
      <c r="C451"/>
      <c r="D451"/>
      <c r="E451"/>
      <c r="F451"/>
      <c r="G451"/>
      <c r="H451"/>
    </row>
    <row r="452" spans="1:8" x14ac:dyDescent="0.2">
      <c r="A452"/>
      <c r="B452"/>
      <c r="C452"/>
      <c r="D452"/>
      <c r="E452"/>
      <c r="F452"/>
      <c r="G452"/>
      <c r="H452"/>
    </row>
    <row r="453" spans="1:8" x14ac:dyDescent="0.2">
      <c r="A453"/>
      <c r="B453"/>
      <c r="C453"/>
      <c r="D453"/>
      <c r="E453"/>
      <c r="F453"/>
      <c r="G453"/>
      <c r="H453"/>
    </row>
    <row r="454" spans="1:8" x14ac:dyDescent="0.2">
      <c r="A454"/>
      <c r="B454"/>
      <c r="C454"/>
      <c r="D454"/>
      <c r="E454"/>
      <c r="F454"/>
      <c r="G454"/>
      <c r="H454"/>
    </row>
    <row r="455" spans="1:8" x14ac:dyDescent="0.2">
      <c r="A455"/>
      <c r="B455"/>
      <c r="C455"/>
      <c r="D455"/>
      <c r="E455"/>
      <c r="F455"/>
      <c r="G455"/>
      <c r="H455"/>
    </row>
    <row r="456" spans="1:8" x14ac:dyDescent="0.2">
      <c r="A456"/>
      <c r="B456"/>
      <c r="C456"/>
      <c r="D456"/>
      <c r="E456"/>
      <c r="F456"/>
      <c r="G456"/>
      <c r="H456"/>
    </row>
    <row r="457" spans="1:8" x14ac:dyDescent="0.2">
      <c r="A457"/>
      <c r="B457"/>
      <c r="C457"/>
      <c r="D457"/>
      <c r="E457"/>
      <c r="F457"/>
      <c r="G457"/>
      <c r="H457"/>
    </row>
    <row r="458" spans="1:8" x14ac:dyDescent="0.2">
      <c r="A458"/>
      <c r="B458"/>
      <c r="C458"/>
      <c r="D458"/>
      <c r="E458"/>
      <c r="F458"/>
      <c r="G458"/>
      <c r="H458"/>
    </row>
    <row r="459" spans="1:8" x14ac:dyDescent="0.2">
      <c r="A459"/>
      <c r="B459"/>
      <c r="C459"/>
      <c r="D459"/>
      <c r="E459"/>
      <c r="F459"/>
      <c r="G459"/>
      <c r="H459"/>
    </row>
    <row r="460" spans="1:8" x14ac:dyDescent="0.2">
      <c r="A460"/>
      <c r="B460"/>
      <c r="C460"/>
      <c r="D460"/>
      <c r="E460"/>
      <c r="F460"/>
      <c r="G460"/>
      <c r="H460"/>
    </row>
    <row r="461" spans="1:8" x14ac:dyDescent="0.2">
      <c r="A461"/>
      <c r="B461"/>
      <c r="C461"/>
      <c r="D461"/>
      <c r="E461"/>
      <c r="F461"/>
      <c r="G461"/>
      <c r="H461"/>
    </row>
    <row r="462" spans="1:8" x14ac:dyDescent="0.2">
      <c r="A462"/>
      <c r="B462"/>
      <c r="C462"/>
      <c r="D462"/>
      <c r="E462"/>
      <c r="F462"/>
      <c r="G462"/>
      <c r="H462"/>
    </row>
    <row r="463" spans="1:8" x14ac:dyDescent="0.2">
      <c r="A463"/>
      <c r="B463"/>
      <c r="C463"/>
      <c r="D463"/>
      <c r="E463"/>
      <c r="F463"/>
      <c r="G463"/>
      <c r="H463"/>
    </row>
    <row r="464" spans="1:8" x14ac:dyDescent="0.2">
      <c r="A464"/>
      <c r="B464"/>
      <c r="C464"/>
      <c r="D464"/>
      <c r="E464"/>
      <c r="F464"/>
      <c r="G464"/>
      <c r="H464"/>
    </row>
    <row r="465" spans="1:8" x14ac:dyDescent="0.2">
      <c r="A465"/>
      <c r="B465"/>
      <c r="C465"/>
      <c r="D465"/>
      <c r="E465"/>
      <c r="F465"/>
      <c r="G465"/>
      <c r="H465"/>
    </row>
    <row r="466" spans="1:8" x14ac:dyDescent="0.2">
      <c r="A466"/>
      <c r="B466"/>
      <c r="C466"/>
      <c r="D466"/>
      <c r="E466"/>
      <c r="F466"/>
      <c r="G466"/>
      <c r="H466"/>
    </row>
    <row r="467" spans="1:8" x14ac:dyDescent="0.2">
      <c r="A467"/>
      <c r="B467"/>
      <c r="C467"/>
      <c r="D467"/>
      <c r="E467"/>
      <c r="F467"/>
      <c r="G467"/>
      <c r="H467"/>
    </row>
    <row r="468" spans="1:8" x14ac:dyDescent="0.2">
      <c r="A468"/>
      <c r="B468"/>
      <c r="C468"/>
      <c r="D468"/>
      <c r="E468"/>
      <c r="F468"/>
      <c r="G468"/>
      <c r="H468"/>
    </row>
    <row r="469" spans="1:8" x14ac:dyDescent="0.2">
      <c r="A469"/>
      <c r="B469"/>
      <c r="C469"/>
      <c r="D469"/>
      <c r="E469"/>
      <c r="F469"/>
      <c r="G469"/>
      <c r="H469"/>
    </row>
    <row r="470" spans="1:8" x14ac:dyDescent="0.2">
      <c r="A470"/>
      <c r="B470"/>
      <c r="C470"/>
      <c r="D470"/>
      <c r="E470"/>
      <c r="F470"/>
      <c r="G470"/>
      <c r="H470"/>
    </row>
    <row r="471" spans="1:8" x14ac:dyDescent="0.2">
      <c r="A471"/>
      <c r="B471"/>
      <c r="C471"/>
      <c r="D471"/>
      <c r="E471"/>
      <c r="F471"/>
      <c r="G471"/>
      <c r="H471"/>
    </row>
    <row r="472" spans="1:8" x14ac:dyDescent="0.2">
      <c r="A472"/>
      <c r="B472"/>
      <c r="C472"/>
      <c r="D472"/>
      <c r="E472"/>
      <c r="F472"/>
      <c r="G472"/>
      <c r="H472"/>
    </row>
    <row r="473" spans="1:8" x14ac:dyDescent="0.2">
      <c r="A473"/>
      <c r="B473"/>
      <c r="C473"/>
      <c r="D473"/>
      <c r="E473"/>
      <c r="F473"/>
      <c r="G473"/>
      <c r="H473"/>
    </row>
    <row r="474" spans="1:8" x14ac:dyDescent="0.2">
      <c r="A474"/>
      <c r="B474"/>
      <c r="C474"/>
      <c r="D474"/>
      <c r="E474"/>
      <c r="F474"/>
      <c r="G474"/>
      <c r="H474"/>
    </row>
    <row r="475" spans="1:8" x14ac:dyDescent="0.2">
      <c r="A475"/>
      <c r="B475"/>
      <c r="C475"/>
      <c r="D475"/>
      <c r="E475"/>
      <c r="F475"/>
      <c r="G475"/>
      <c r="H475"/>
    </row>
    <row r="476" spans="1:8" x14ac:dyDescent="0.2">
      <c r="A476"/>
      <c r="B476"/>
      <c r="C476"/>
      <c r="D476"/>
      <c r="E476"/>
      <c r="F476"/>
      <c r="G476"/>
      <c r="H476"/>
    </row>
    <row r="477" spans="1:8" x14ac:dyDescent="0.2">
      <c r="A477"/>
      <c r="B477"/>
      <c r="C477"/>
      <c r="D477"/>
      <c r="E477"/>
      <c r="F477"/>
      <c r="G477"/>
      <c r="H477"/>
    </row>
    <row r="478" spans="1:8" x14ac:dyDescent="0.2">
      <c r="A478"/>
      <c r="B478"/>
      <c r="C478"/>
      <c r="D478"/>
      <c r="E478"/>
      <c r="F478"/>
      <c r="G478"/>
      <c r="H478"/>
    </row>
    <row r="479" spans="1:8" x14ac:dyDescent="0.2">
      <c r="A479"/>
      <c r="B479"/>
      <c r="C479"/>
      <c r="D479"/>
      <c r="E479"/>
      <c r="F479"/>
      <c r="G479"/>
      <c r="H479"/>
    </row>
    <row r="480" spans="1:8" x14ac:dyDescent="0.2">
      <c r="A480"/>
      <c r="B480"/>
      <c r="C480"/>
      <c r="D480"/>
      <c r="E480"/>
      <c r="F480"/>
      <c r="G480"/>
      <c r="H480"/>
    </row>
    <row r="481" spans="1:8" x14ac:dyDescent="0.2">
      <c r="A481"/>
      <c r="B481"/>
      <c r="C481"/>
      <c r="D481"/>
      <c r="E481"/>
      <c r="F481"/>
      <c r="G481"/>
      <c r="H481"/>
    </row>
    <row r="482" spans="1:8" x14ac:dyDescent="0.2">
      <c r="A482"/>
      <c r="B482"/>
      <c r="C482"/>
      <c r="D482"/>
      <c r="E482"/>
      <c r="F482"/>
      <c r="G482"/>
      <c r="H482"/>
    </row>
    <row r="483" spans="1:8" x14ac:dyDescent="0.2">
      <c r="A483"/>
      <c r="B483"/>
      <c r="C483"/>
      <c r="D483"/>
      <c r="E483"/>
      <c r="F483"/>
      <c r="G483"/>
      <c r="H483"/>
    </row>
    <row r="484" spans="1:8" x14ac:dyDescent="0.2">
      <c r="A484"/>
      <c r="B484"/>
      <c r="C484"/>
      <c r="D484"/>
      <c r="E484"/>
      <c r="F484"/>
      <c r="G484"/>
      <c r="H484"/>
    </row>
    <row r="485" spans="1:8" x14ac:dyDescent="0.2">
      <c r="A485"/>
      <c r="B485"/>
      <c r="C485"/>
      <c r="D485"/>
      <c r="E485"/>
      <c r="F485"/>
      <c r="G485"/>
      <c r="H485"/>
    </row>
    <row r="486" spans="1:8" x14ac:dyDescent="0.2">
      <c r="A486"/>
      <c r="B486"/>
      <c r="C486"/>
      <c r="D486"/>
      <c r="E486"/>
      <c r="F486"/>
      <c r="G486"/>
      <c r="H486"/>
    </row>
    <row r="487" spans="1:8" x14ac:dyDescent="0.2">
      <c r="A487"/>
      <c r="B487"/>
      <c r="C487"/>
      <c r="D487"/>
      <c r="E487"/>
      <c r="F487"/>
      <c r="G487"/>
      <c r="H487"/>
    </row>
    <row r="488" spans="1:8" x14ac:dyDescent="0.2">
      <c r="A488"/>
      <c r="B488"/>
      <c r="C488"/>
      <c r="D488"/>
      <c r="E488"/>
      <c r="F488"/>
      <c r="G488"/>
      <c r="H488"/>
    </row>
    <row r="489" spans="1:8" x14ac:dyDescent="0.2">
      <c r="A489"/>
      <c r="B489"/>
      <c r="C489"/>
      <c r="D489"/>
      <c r="E489"/>
      <c r="F489"/>
      <c r="G489"/>
      <c r="H489"/>
    </row>
    <row r="490" spans="1:8" x14ac:dyDescent="0.2">
      <c r="A490"/>
      <c r="B490"/>
      <c r="C490"/>
      <c r="D490"/>
      <c r="E490"/>
      <c r="F490"/>
      <c r="G490"/>
      <c r="H490"/>
    </row>
    <row r="491" spans="1:8" x14ac:dyDescent="0.2">
      <c r="A491"/>
      <c r="B491"/>
      <c r="C491"/>
      <c r="D491"/>
      <c r="E491"/>
      <c r="F491"/>
      <c r="G491"/>
      <c r="H491"/>
    </row>
    <row r="492" spans="1:8" x14ac:dyDescent="0.2">
      <c r="A492"/>
      <c r="B492"/>
      <c r="C492"/>
      <c r="D492"/>
      <c r="E492"/>
      <c r="F492"/>
      <c r="G492"/>
      <c r="H492"/>
    </row>
    <row r="493" spans="1:8" x14ac:dyDescent="0.2">
      <c r="A493"/>
      <c r="B493"/>
      <c r="C493"/>
      <c r="D493"/>
      <c r="E493"/>
      <c r="F493"/>
      <c r="G493"/>
      <c r="H493"/>
    </row>
    <row r="494" spans="1:8" x14ac:dyDescent="0.2">
      <c r="A494"/>
      <c r="B494"/>
      <c r="C494"/>
      <c r="D494"/>
      <c r="E494"/>
      <c r="F494"/>
      <c r="G494"/>
      <c r="H494"/>
    </row>
    <row r="495" spans="1:8" x14ac:dyDescent="0.2">
      <c r="A495"/>
      <c r="B495"/>
      <c r="C495"/>
      <c r="D495"/>
      <c r="E495"/>
      <c r="F495"/>
      <c r="G495"/>
      <c r="H495"/>
    </row>
    <row r="496" spans="1:8" x14ac:dyDescent="0.2">
      <c r="A496"/>
      <c r="B496"/>
      <c r="C496"/>
      <c r="D496"/>
      <c r="E496"/>
      <c r="F496"/>
      <c r="G496"/>
      <c r="H496"/>
    </row>
    <row r="497" spans="1:8" x14ac:dyDescent="0.2">
      <c r="A497"/>
      <c r="B497"/>
      <c r="C497"/>
      <c r="D497"/>
      <c r="E497"/>
      <c r="F497"/>
      <c r="G497"/>
      <c r="H497"/>
    </row>
    <row r="498" spans="1:8" x14ac:dyDescent="0.2">
      <c r="A498"/>
      <c r="B498"/>
      <c r="C498"/>
      <c r="D498"/>
      <c r="E498"/>
      <c r="F498"/>
      <c r="G498"/>
      <c r="H498"/>
    </row>
    <row r="499" spans="1:8" x14ac:dyDescent="0.2">
      <c r="A499"/>
      <c r="B499"/>
      <c r="C499"/>
      <c r="D499"/>
      <c r="E499"/>
      <c r="F499"/>
      <c r="G499"/>
      <c r="H499"/>
    </row>
    <row r="500" spans="1:8" x14ac:dyDescent="0.2">
      <c r="A500"/>
      <c r="B500"/>
      <c r="C500"/>
      <c r="D500"/>
      <c r="E500"/>
      <c r="F500"/>
      <c r="G500"/>
      <c r="H500"/>
    </row>
    <row r="501" spans="1:8" x14ac:dyDescent="0.2">
      <c r="A501"/>
      <c r="B501"/>
      <c r="C501"/>
      <c r="D501"/>
      <c r="E501"/>
      <c r="F501"/>
      <c r="G501"/>
      <c r="H501"/>
    </row>
    <row r="502" spans="1:8" x14ac:dyDescent="0.2">
      <c r="A502"/>
      <c r="B502"/>
      <c r="C502"/>
      <c r="D502"/>
      <c r="E502"/>
      <c r="F502"/>
      <c r="G502"/>
      <c r="H502"/>
    </row>
    <row r="503" spans="1:8" x14ac:dyDescent="0.2">
      <c r="A503"/>
      <c r="B503"/>
      <c r="C503"/>
      <c r="D503"/>
      <c r="E503"/>
      <c r="F503"/>
      <c r="G503"/>
      <c r="H503"/>
    </row>
    <row r="504" spans="1:8" x14ac:dyDescent="0.2">
      <c r="A504"/>
      <c r="B504"/>
      <c r="C504"/>
      <c r="D504"/>
      <c r="E504"/>
      <c r="F504"/>
      <c r="G504"/>
      <c r="H504"/>
    </row>
    <row r="505" spans="1:8" x14ac:dyDescent="0.2">
      <c r="A505"/>
      <c r="B505"/>
      <c r="C505"/>
      <c r="D505"/>
      <c r="E505"/>
      <c r="F505"/>
      <c r="G505"/>
      <c r="H505"/>
    </row>
    <row r="506" spans="1:8" x14ac:dyDescent="0.2">
      <c r="A506"/>
      <c r="B506"/>
      <c r="C506"/>
      <c r="D506"/>
      <c r="E506"/>
      <c r="F506"/>
      <c r="G506"/>
      <c r="H506"/>
    </row>
    <row r="507" spans="1:8" x14ac:dyDescent="0.2">
      <c r="A507"/>
      <c r="B507"/>
      <c r="C507"/>
      <c r="D507"/>
      <c r="E507"/>
      <c r="F507"/>
      <c r="G507"/>
      <c r="H507"/>
    </row>
    <row r="508" spans="1:8" x14ac:dyDescent="0.2">
      <c r="A508"/>
      <c r="B508"/>
      <c r="C508"/>
      <c r="D508"/>
      <c r="E508"/>
      <c r="F508"/>
      <c r="G508"/>
      <c r="H508"/>
    </row>
    <row r="509" spans="1:8" x14ac:dyDescent="0.2">
      <c r="A509"/>
      <c r="B509"/>
      <c r="C509"/>
      <c r="D509"/>
      <c r="E509"/>
      <c r="F509"/>
      <c r="G509"/>
      <c r="H509"/>
    </row>
    <row r="510" spans="1:8" x14ac:dyDescent="0.2">
      <c r="A510"/>
      <c r="B510"/>
      <c r="C510"/>
      <c r="D510"/>
      <c r="E510"/>
      <c r="F510"/>
      <c r="G510"/>
      <c r="H510"/>
    </row>
    <row r="511" spans="1:8" x14ac:dyDescent="0.2">
      <c r="A511"/>
      <c r="B511"/>
      <c r="C511"/>
      <c r="D511"/>
      <c r="E511"/>
      <c r="F511"/>
      <c r="G511"/>
      <c r="H511"/>
    </row>
    <row r="512" spans="1:8" x14ac:dyDescent="0.2">
      <c r="A512"/>
      <c r="B512"/>
      <c r="C512"/>
      <c r="D512"/>
      <c r="E512"/>
      <c r="F512"/>
      <c r="G512"/>
      <c r="H512"/>
    </row>
    <row r="513" spans="1:8" x14ac:dyDescent="0.2">
      <c r="A513"/>
      <c r="B513"/>
      <c r="C513"/>
      <c r="D513"/>
      <c r="E513"/>
      <c r="F513"/>
      <c r="G513"/>
      <c r="H513"/>
    </row>
    <row r="514" spans="1:8" x14ac:dyDescent="0.2">
      <c r="A514"/>
      <c r="B514"/>
      <c r="C514"/>
      <c r="D514"/>
      <c r="E514"/>
      <c r="F514"/>
      <c r="G514"/>
      <c r="H514"/>
    </row>
    <row r="515" spans="1:8" x14ac:dyDescent="0.2">
      <c r="A515"/>
      <c r="B515"/>
      <c r="C515"/>
      <c r="D515"/>
      <c r="E515"/>
      <c r="F515"/>
      <c r="G515"/>
      <c r="H515"/>
    </row>
    <row r="516" spans="1:8" x14ac:dyDescent="0.2">
      <c r="A516"/>
      <c r="B516"/>
      <c r="C516"/>
      <c r="D516"/>
      <c r="E516"/>
      <c r="F516"/>
      <c r="G516"/>
      <c r="H516"/>
    </row>
    <row r="517" spans="1:8" x14ac:dyDescent="0.2">
      <c r="A517"/>
      <c r="B517"/>
      <c r="C517"/>
      <c r="D517"/>
      <c r="E517"/>
      <c r="F517"/>
      <c r="G517"/>
      <c r="H517"/>
    </row>
    <row r="518" spans="1:8" x14ac:dyDescent="0.2">
      <c r="A518"/>
      <c r="B518"/>
      <c r="C518"/>
      <c r="D518"/>
      <c r="E518"/>
      <c r="F518"/>
      <c r="G518"/>
      <c r="H518"/>
    </row>
    <row r="519" spans="1:8" x14ac:dyDescent="0.2">
      <c r="A519"/>
      <c r="B519"/>
      <c r="C519"/>
      <c r="D519"/>
      <c r="E519"/>
      <c r="F519"/>
      <c r="G519"/>
      <c r="H519"/>
    </row>
    <row r="520" spans="1:8" x14ac:dyDescent="0.2">
      <c r="A520"/>
      <c r="B520"/>
      <c r="C520"/>
      <c r="D520"/>
      <c r="E520"/>
      <c r="F520"/>
      <c r="G520"/>
      <c r="H520"/>
    </row>
    <row r="521" spans="1:8" x14ac:dyDescent="0.2">
      <c r="A521"/>
      <c r="B521"/>
      <c r="C521"/>
      <c r="D521"/>
      <c r="E521"/>
      <c r="F521"/>
      <c r="G521"/>
      <c r="H521"/>
    </row>
    <row r="522" spans="1:8" x14ac:dyDescent="0.2">
      <c r="A522"/>
      <c r="B522"/>
      <c r="C522"/>
      <c r="D522"/>
      <c r="E522"/>
      <c r="F522"/>
      <c r="G522"/>
      <c r="H522"/>
    </row>
    <row r="523" spans="1:8" x14ac:dyDescent="0.2">
      <c r="A523"/>
      <c r="B523"/>
      <c r="C523"/>
      <c r="D523"/>
      <c r="E523"/>
      <c r="F523"/>
      <c r="G523"/>
      <c r="H523"/>
    </row>
    <row r="524" spans="1:8" x14ac:dyDescent="0.2">
      <c r="A524"/>
      <c r="B524"/>
      <c r="C524"/>
      <c r="D524"/>
      <c r="E524"/>
      <c r="F524"/>
      <c r="G524"/>
      <c r="H524"/>
    </row>
    <row r="525" spans="1:8" x14ac:dyDescent="0.2">
      <c r="A525"/>
      <c r="B525"/>
      <c r="C525"/>
      <c r="D525"/>
      <c r="E525"/>
      <c r="F525"/>
      <c r="G525"/>
      <c r="H525"/>
    </row>
    <row r="526" spans="1:8" x14ac:dyDescent="0.2">
      <c r="A526"/>
      <c r="B526"/>
      <c r="C526"/>
      <c r="D526"/>
      <c r="E526"/>
      <c r="F526"/>
      <c r="G526"/>
      <c r="H526"/>
    </row>
    <row r="527" spans="1:8" x14ac:dyDescent="0.2">
      <c r="A527"/>
      <c r="B527"/>
      <c r="C527"/>
      <c r="D527"/>
      <c r="E527"/>
      <c r="F527"/>
      <c r="G527"/>
      <c r="H527"/>
    </row>
    <row r="528" spans="1:8" x14ac:dyDescent="0.2">
      <c r="A528"/>
      <c r="B528"/>
      <c r="C528"/>
      <c r="D528"/>
      <c r="E528"/>
      <c r="F528"/>
      <c r="G528"/>
      <c r="H528"/>
    </row>
    <row r="529" spans="1:8" x14ac:dyDescent="0.2">
      <c r="A529"/>
      <c r="B529"/>
      <c r="C529"/>
      <c r="D529"/>
      <c r="E529"/>
      <c r="F529"/>
      <c r="G529"/>
      <c r="H529"/>
    </row>
    <row r="530" spans="1:8" x14ac:dyDescent="0.2">
      <c r="A530"/>
      <c r="B530"/>
      <c r="C530"/>
      <c r="D530"/>
      <c r="E530"/>
      <c r="F530"/>
      <c r="G530"/>
      <c r="H530"/>
    </row>
    <row r="531" spans="1:8" x14ac:dyDescent="0.2">
      <c r="A531"/>
      <c r="B531"/>
      <c r="C531"/>
      <c r="D531"/>
      <c r="E531"/>
      <c r="F531"/>
      <c r="G531"/>
      <c r="H531"/>
    </row>
    <row r="532" spans="1:8" x14ac:dyDescent="0.2">
      <c r="A532"/>
      <c r="B532"/>
      <c r="C532"/>
      <c r="D532"/>
      <c r="E532"/>
      <c r="F532"/>
      <c r="G532"/>
      <c r="H532"/>
    </row>
    <row r="533" spans="1:8" x14ac:dyDescent="0.2">
      <c r="A533"/>
      <c r="B533"/>
      <c r="C533"/>
      <c r="D533"/>
      <c r="E533"/>
      <c r="F533"/>
      <c r="G533"/>
      <c r="H533"/>
    </row>
    <row r="534" spans="1:8" x14ac:dyDescent="0.2">
      <c r="A534"/>
      <c r="B534"/>
      <c r="C534"/>
      <c r="D534"/>
      <c r="E534"/>
      <c r="F534"/>
      <c r="G534"/>
      <c r="H534"/>
    </row>
    <row r="535" spans="1:8" x14ac:dyDescent="0.2">
      <c r="A535"/>
      <c r="B535"/>
      <c r="C535"/>
      <c r="D535"/>
      <c r="E535"/>
      <c r="F535"/>
      <c r="G535"/>
      <c r="H535"/>
    </row>
    <row r="536" spans="1:8" x14ac:dyDescent="0.2">
      <c r="A536"/>
      <c r="B536"/>
      <c r="C536"/>
      <c r="D536"/>
      <c r="E536"/>
      <c r="F536"/>
      <c r="G536"/>
      <c r="H536"/>
    </row>
    <row r="537" spans="1:8" x14ac:dyDescent="0.2">
      <c r="A537"/>
      <c r="B537"/>
      <c r="C537"/>
      <c r="D537"/>
      <c r="E537"/>
      <c r="F537"/>
      <c r="G537"/>
      <c r="H537"/>
    </row>
    <row r="538" spans="1:8" x14ac:dyDescent="0.2">
      <c r="A538"/>
      <c r="B538"/>
      <c r="C538"/>
      <c r="D538"/>
      <c r="E538"/>
      <c r="F538"/>
      <c r="G538"/>
      <c r="H538"/>
    </row>
    <row r="539" spans="1:8" x14ac:dyDescent="0.2">
      <c r="A539"/>
      <c r="B539"/>
      <c r="C539"/>
      <c r="D539"/>
      <c r="E539"/>
      <c r="F539"/>
      <c r="G539"/>
      <c r="H539"/>
    </row>
    <row r="540" spans="1:8" x14ac:dyDescent="0.2">
      <c r="A540"/>
      <c r="B540"/>
      <c r="C540"/>
      <c r="D540"/>
      <c r="E540"/>
      <c r="F540"/>
      <c r="G540"/>
      <c r="H540"/>
    </row>
    <row r="541" spans="1:8" x14ac:dyDescent="0.2">
      <c r="A541"/>
      <c r="B541"/>
      <c r="C541"/>
      <c r="D541"/>
      <c r="E541"/>
      <c r="F541"/>
      <c r="G541"/>
      <c r="H541"/>
    </row>
    <row r="542" spans="1:8" x14ac:dyDescent="0.2">
      <c r="A542"/>
      <c r="B542"/>
      <c r="C542"/>
      <c r="D542"/>
      <c r="E542"/>
      <c r="F542"/>
      <c r="G542"/>
      <c r="H542"/>
    </row>
    <row r="543" spans="1:8" x14ac:dyDescent="0.2">
      <c r="A543"/>
      <c r="B543"/>
      <c r="C543"/>
      <c r="D543"/>
      <c r="E543"/>
      <c r="F543"/>
      <c r="G543"/>
      <c r="H543"/>
    </row>
    <row r="544" spans="1:8" x14ac:dyDescent="0.2">
      <c r="A544"/>
      <c r="B544"/>
      <c r="C544"/>
      <c r="D544"/>
      <c r="E544"/>
      <c r="F544"/>
      <c r="G544"/>
      <c r="H544"/>
    </row>
    <row r="545" spans="1:8" x14ac:dyDescent="0.2">
      <c r="A545"/>
      <c r="B545"/>
      <c r="C545"/>
      <c r="D545"/>
      <c r="E545"/>
      <c r="F545"/>
      <c r="G545"/>
      <c r="H545"/>
    </row>
    <row r="546" spans="1:8" x14ac:dyDescent="0.2">
      <c r="A546"/>
      <c r="B546"/>
      <c r="C546"/>
      <c r="D546"/>
      <c r="E546"/>
      <c r="F546"/>
      <c r="G546"/>
      <c r="H546"/>
    </row>
    <row r="547" spans="1:8" x14ac:dyDescent="0.2">
      <c r="A547"/>
      <c r="B547"/>
      <c r="C547"/>
      <c r="D547"/>
      <c r="E547"/>
      <c r="F547"/>
      <c r="G547"/>
      <c r="H547"/>
    </row>
    <row r="548" spans="1:8" x14ac:dyDescent="0.2">
      <c r="A548"/>
      <c r="B548"/>
      <c r="C548"/>
      <c r="D548"/>
      <c r="E548"/>
      <c r="F548"/>
      <c r="G548"/>
      <c r="H548"/>
    </row>
    <row r="549" spans="1:8" x14ac:dyDescent="0.2">
      <c r="A549"/>
      <c r="B549"/>
      <c r="C549"/>
      <c r="D549"/>
      <c r="E549"/>
      <c r="F549"/>
      <c r="G549"/>
      <c r="H549"/>
    </row>
    <row r="550" spans="1:8" x14ac:dyDescent="0.2">
      <c r="A550"/>
      <c r="B550"/>
      <c r="C550"/>
      <c r="D550"/>
      <c r="E550"/>
      <c r="F550"/>
      <c r="G550"/>
      <c r="H550"/>
    </row>
    <row r="551" spans="1:8" x14ac:dyDescent="0.2">
      <c r="A551"/>
      <c r="B551"/>
      <c r="C551"/>
      <c r="D551"/>
      <c r="E551"/>
      <c r="F551"/>
      <c r="G551"/>
      <c r="H551"/>
    </row>
    <row r="552" spans="1:8" x14ac:dyDescent="0.2">
      <c r="A552"/>
      <c r="B552"/>
      <c r="C552"/>
      <c r="D552"/>
      <c r="E552"/>
      <c r="F552"/>
      <c r="G552"/>
      <c r="H552"/>
    </row>
    <row r="553" spans="1:8" x14ac:dyDescent="0.2">
      <c r="A553"/>
      <c r="B553"/>
      <c r="C553"/>
      <c r="D553"/>
      <c r="E553"/>
      <c r="F553"/>
      <c r="G553"/>
      <c r="H553"/>
    </row>
    <row r="554" spans="1:8" x14ac:dyDescent="0.2">
      <c r="A554"/>
      <c r="B554"/>
      <c r="C554"/>
      <c r="D554"/>
      <c r="E554"/>
      <c r="F554"/>
      <c r="G554"/>
      <c r="H554"/>
    </row>
    <row r="555" spans="1:8" x14ac:dyDescent="0.2">
      <c r="A555"/>
      <c r="B555"/>
      <c r="C555"/>
      <c r="D555"/>
      <c r="E555"/>
      <c r="F555"/>
      <c r="G555"/>
      <c r="H555"/>
    </row>
    <row r="556" spans="1:8" x14ac:dyDescent="0.2">
      <c r="A556"/>
      <c r="B556"/>
      <c r="C556"/>
      <c r="D556"/>
      <c r="E556"/>
      <c r="F556"/>
      <c r="G556"/>
      <c r="H556"/>
    </row>
    <row r="557" spans="1:8" x14ac:dyDescent="0.2">
      <c r="A557"/>
      <c r="B557"/>
      <c r="C557"/>
      <c r="D557"/>
      <c r="E557"/>
      <c r="F557"/>
      <c r="G557"/>
      <c r="H557"/>
    </row>
    <row r="558" spans="1:8" x14ac:dyDescent="0.2">
      <c r="A558"/>
      <c r="B558"/>
      <c r="C558"/>
      <c r="D558"/>
      <c r="E558"/>
      <c r="F558"/>
      <c r="G558"/>
      <c r="H558"/>
    </row>
    <row r="559" spans="1:8" x14ac:dyDescent="0.2">
      <c r="A559"/>
      <c r="B559"/>
      <c r="C559"/>
      <c r="D559"/>
      <c r="E559"/>
      <c r="F559"/>
      <c r="G559"/>
      <c r="H559"/>
    </row>
    <row r="560" spans="1:8" x14ac:dyDescent="0.2">
      <c r="A560"/>
      <c r="B560"/>
      <c r="C560"/>
      <c r="D560"/>
      <c r="E560"/>
      <c r="F560"/>
      <c r="G560"/>
      <c r="H560"/>
    </row>
    <row r="561" spans="1:8" x14ac:dyDescent="0.2">
      <c r="A561"/>
      <c r="B561"/>
      <c r="C561"/>
      <c r="D561"/>
      <c r="E561"/>
      <c r="F561"/>
      <c r="G561"/>
      <c r="H561"/>
    </row>
    <row r="562" spans="1:8" x14ac:dyDescent="0.2">
      <c r="A562"/>
      <c r="B562"/>
      <c r="C562"/>
      <c r="D562"/>
      <c r="E562"/>
      <c r="F562"/>
      <c r="G562"/>
      <c r="H562"/>
    </row>
    <row r="563" spans="1:8" x14ac:dyDescent="0.2">
      <c r="A563"/>
      <c r="B563"/>
      <c r="C563"/>
      <c r="D563"/>
      <c r="E563"/>
      <c r="F563"/>
      <c r="G563"/>
      <c r="H563"/>
    </row>
    <row r="564" spans="1:8" x14ac:dyDescent="0.2">
      <c r="A564"/>
      <c r="B564"/>
      <c r="C564"/>
      <c r="D564"/>
      <c r="E564"/>
      <c r="F564"/>
      <c r="G564"/>
      <c r="H564"/>
    </row>
    <row r="565" spans="1:8" x14ac:dyDescent="0.2">
      <c r="A565"/>
      <c r="B565"/>
      <c r="C565"/>
      <c r="D565"/>
      <c r="E565"/>
      <c r="F565"/>
      <c r="G565"/>
      <c r="H565"/>
    </row>
    <row r="566" spans="1:8" x14ac:dyDescent="0.2">
      <c r="A566"/>
      <c r="B566"/>
      <c r="C566"/>
      <c r="D566"/>
      <c r="E566"/>
      <c r="F566"/>
      <c r="G566"/>
      <c r="H566"/>
    </row>
    <row r="567" spans="1:8" x14ac:dyDescent="0.2">
      <c r="A567"/>
      <c r="B567"/>
      <c r="C567"/>
      <c r="D567"/>
      <c r="E567"/>
      <c r="F567"/>
      <c r="G567"/>
      <c r="H567"/>
    </row>
    <row r="568" spans="1:8" x14ac:dyDescent="0.2">
      <c r="A568"/>
      <c r="B568"/>
      <c r="C568"/>
      <c r="D568"/>
      <c r="E568"/>
      <c r="F568"/>
      <c r="G568"/>
      <c r="H568"/>
    </row>
    <row r="569" spans="1:8" x14ac:dyDescent="0.2">
      <c r="A569"/>
      <c r="B569"/>
      <c r="C569"/>
      <c r="D569"/>
      <c r="E569"/>
      <c r="F569"/>
      <c r="G569"/>
      <c r="H569"/>
    </row>
    <row r="570" spans="1:8" x14ac:dyDescent="0.2">
      <c r="A570"/>
      <c r="B570"/>
      <c r="C570"/>
      <c r="D570"/>
      <c r="E570"/>
      <c r="F570"/>
      <c r="G570"/>
      <c r="H570"/>
    </row>
    <row r="571" spans="1:8" x14ac:dyDescent="0.2">
      <c r="A571"/>
      <c r="B571"/>
      <c r="C571"/>
      <c r="D571"/>
      <c r="E571"/>
      <c r="F571"/>
      <c r="G571"/>
      <c r="H571"/>
    </row>
    <row r="572" spans="1:8" x14ac:dyDescent="0.2">
      <c r="A572"/>
      <c r="B572"/>
      <c r="C572"/>
      <c r="D572"/>
      <c r="E572"/>
      <c r="F572"/>
      <c r="G572"/>
      <c r="H572"/>
    </row>
    <row r="573" spans="1:8" x14ac:dyDescent="0.2">
      <c r="A573"/>
      <c r="B573"/>
      <c r="C573"/>
      <c r="D573"/>
      <c r="E573"/>
      <c r="F573"/>
      <c r="G573"/>
      <c r="H573"/>
    </row>
    <row r="574" spans="1:8" x14ac:dyDescent="0.2">
      <c r="A574"/>
      <c r="B574"/>
      <c r="C574"/>
      <c r="D574"/>
      <c r="E574"/>
      <c r="F574"/>
      <c r="G574"/>
      <c r="H574"/>
    </row>
    <row r="575" spans="1:8" x14ac:dyDescent="0.2">
      <c r="A575"/>
      <c r="B575"/>
      <c r="C575"/>
      <c r="D575"/>
      <c r="E575"/>
      <c r="F575"/>
      <c r="G575"/>
      <c r="H575"/>
    </row>
    <row r="576" spans="1:8" x14ac:dyDescent="0.2">
      <c r="A576"/>
      <c r="B576"/>
      <c r="C576"/>
      <c r="D576"/>
      <c r="E576"/>
      <c r="F576"/>
      <c r="G576"/>
      <c r="H576"/>
    </row>
    <row r="577" spans="1:8" x14ac:dyDescent="0.2">
      <c r="A577"/>
      <c r="B577"/>
      <c r="C577"/>
      <c r="D577"/>
      <c r="E577"/>
      <c r="F577"/>
      <c r="G577"/>
      <c r="H577"/>
    </row>
    <row r="578" spans="1:8" x14ac:dyDescent="0.2">
      <c r="A578"/>
      <c r="B578"/>
      <c r="C578"/>
      <c r="D578"/>
      <c r="E578"/>
      <c r="F578"/>
      <c r="G578"/>
      <c r="H578"/>
    </row>
    <row r="579" spans="1:8" x14ac:dyDescent="0.2">
      <c r="A579"/>
      <c r="B579"/>
      <c r="C579"/>
      <c r="D579"/>
      <c r="E579"/>
      <c r="F579"/>
      <c r="G579"/>
      <c r="H579"/>
    </row>
    <row r="580" spans="1:8" x14ac:dyDescent="0.2">
      <c r="A580"/>
      <c r="B580"/>
      <c r="C580"/>
      <c r="D580"/>
      <c r="E580"/>
      <c r="F580"/>
      <c r="G580"/>
      <c r="H580"/>
    </row>
    <row r="581" spans="1:8" x14ac:dyDescent="0.2">
      <c r="A581"/>
      <c r="B581"/>
      <c r="C581"/>
      <c r="D581"/>
      <c r="E581"/>
      <c r="F581"/>
      <c r="G581"/>
      <c r="H581"/>
    </row>
    <row r="582" spans="1:8" x14ac:dyDescent="0.2">
      <c r="A582"/>
      <c r="B582"/>
      <c r="C582"/>
      <c r="D582"/>
      <c r="E582"/>
      <c r="F582"/>
      <c r="G582"/>
      <c r="H582"/>
    </row>
    <row r="583" spans="1:8" x14ac:dyDescent="0.2">
      <c r="A583"/>
      <c r="B583"/>
      <c r="C583"/>
      <c r="D583"/>
      <c r="E583"/>
      <c r="F583"/>
      <c r="G583"/>
      <c r="H583"/>
    </row>
    <row r="584" spans="1:8" x14ac:dyDescent="0.2">
      <c r="A584"/>
      <c r="B584"/>
      <c r="C584"/>
      <c r="D584"/>
      <c r="E584"/>
      <c r="F584"/>
      <c r="G584"/>
      <c r="H584"/>
    </row>
    <row r="585" spans="1:8" x14ac:dyDescent="0.2">
      <c r="A585"/>
      <c r="B585"/>
      <c r="C585"/>
      <c r="D585"/>
      <c r="E585"/>
      <c r="F585"/>
      <c r="G585"/>
      <c r="H585"/>
    </row>
    <row r="586" spans="1:8" x14ac:dyDescent="0.2">
      <c r="A586"/>
      <c r="B586"/>
      <c r="C586"/>
      <c r="D586"/>
      <c r="E586"/>
      <c r="F586"/>
      <c r="G586"/>
      <c r="H586"/>
    </row>
    <row r="587" spans="1:8" x14ac:dyDescent="0.2">
      <c r="A587"/>
      <c r="B587"/>
      <c r="C587"/>
      <c r="D587"/>
      <c r="E587"/>
      <c r="F587"/>
      <c r="G587"/>
      <c r="H587"/>
    </row>
    <row r="588" spans="1:8" x14ac:dyDescent="0.2">
      <c r="A588"/>
      <c r="B588"/>
      <c r="C588"/>
      <c r="D588"/>
      <c r="E588"/>
      <c r="F588"/>
      <c r="G588"/>
      <c r="H588"/>
    </row>
    <row r="589" spans="1:8" x14ac:dyDescent="0.2">
      <c r="A589"/>
      <c r="B589"/>
      <c r="C589"/>
      <c r="D589"/>
      <c r="E589"/>
      <c r="F589"/>
      <c r="G589"/>
      <c r="H589"/>
    </row>
    <row r="590" spans="1:8" x14ac:dyDescent="0.2">
      <c r="A590"/>
      <c r="B590"/>
      <c r="C590"/>
      <c r="D590"/>
      <c r="E590"/>
      <c r="F590"/>
      <c r="G590"/>
      <c r="H590"/>
    </row>
    <row r="591" spans="1:8" x14ac:dyDescent="0.2">
      <c r="A591"/>
      <c r="B591"/>
      <c r="C591"/>
      <c r="D591"/>
      <c r="E591"/>
      <c r="F591"/>
      <c r="G591"/>
      <c r="H591"/>
    </row>
    <row r="592" spans="1:8" x14ac:dyDescent="0.2">
      <c r="A592"/>
      <c r="B592"/>
      <c r="C592"/>
      <c r="D592"/>
      <c r="E592"/>
      <c r="F592"/>
      <c r="G592"/>
      <c r="H592"/>
    </row>
    <row r="593" spans="1:8" x14ac:dyDescent="0.2">
      <c r="A593"/>
      <c r="B593"/>
      <c r="C593"/>
      <c r="D593"/>
      <c r="E593"/>
      <c r="F593"/>
      <c r="G593"/>
      <c r="H593"/>
    </row>
    <row r="594" spans="1:8" x14ac:dyDescent="0.2">
      <c r="A594"/>
      <c r="B594"/>
      <c r="C594"/>
      <c r="D594"/>
      <c r="E594"/>
      <c r="F594"/>
      <c r="G594"/>
      <c r="H594"/>
    </row>
    <row r="595" spans="1:8" x14ac:dyDescent="0.2">
      <c r="A595"/>
      <c r="B595"/>
      <c r="C595"/>
      <c r="D595"/>
      <c r="E595"/>
      <c r="F595"/>
      <c r="G595"/>
      <c r="H595"/>
    </row>
    <row r="596" spans="1:8" x14ac:dyDescent="0.2">
      <c r="A596"/>
      <c r="B596"/>
      <c r="C596"/>
      <c r="D596"/>
      <c r="E596"/>
      <c r="F596"/>
      <c r="G596"/>
      <c r="H596"/>
    </row>
    <row r="597" spans="1:8" x14ac:dyDescent="0.2">
      <c r="A597"/>
      <c r="B597"/>
      <c r="C597"/>
      <c r="D597"/>
      <c r="E597"/>
      <c r="F597"/>
      <c r="G597"/>
      <c r="H597"/>
    </row>
    <row r="598" spans="1:8" x14ac:dyDescent="0.2">
      <c r="A598"/>
      <c r="B598"/>
      <c r="C598"/>
      <c r="D598"/>
      <c r="E598"/>
      <c r="F598"/>
      <c r="G598"/>
      <c r="H598"/>
    </row>
    <row r="599" spans="1:8" x14ac:dyDescent="0.2">
      <c r="A599"/>
      <c r="B599"/>
      <c r="C599"/>
      <c r="D599"/>
      <c r="E599"/>
      <c r="F599"/>
      <c r="G599"/>
      <c r="H599"/>
    </row>
    <row r="600" spans="1:8" x14ac:dyDescent="0.2">
      <c r="A600"/>
      <c r="B600"/>
      <c r="C600"/>
      <c r="D600"/>
      <c r="E600"/>
      <c r="F600"/>
      <c r="G600"/>
      <c r="H600"/>
    </row>
    <row r="601" spans="1:8" x14ac:dyDescent="0.2">
      <c r="A601"/>
      <c r="B601"/>
      <c r="C601"/>
      <c r="D601"/>
      <c r="E601"/>
      <c r="F601"/>
      <c r="G601"/>
      <c r="H601"/>
    </row>
    <row r="602" spans="1:8" x14ac:dyDescent="0.2">
      <c r="A602"/>
      <c r="B602"/>
      <c r="C602"/>
      <c r="D602"/>
      <c r="E602"/>
      <c r="F602"/>
      <c r="G602"/>
      <c r="H602"/>
    </row>
    <row r="603" spans="1:8" x14ac:dyDescent="0.2">
      <c r="A603"/>
      <c r="B603"/>
      <c r="C603"/>
      <c r="D603"/>
      <c r="E603"/>
      <c r="F603"/>
      <c r="G603"/>
      <c r="H603"/>
    </row>
    <row r="604" spans="1:8" x14ac:dyDescent="0.2">
      <c r="A604"/>
      <c r="B604"/>
      <c r="C604"/>
      <c r="D604"/>
      <c r="E604"/>
      <c r="F604"/>
      <c r="G604"/>
      <c r="H604"/>
    </row>
    <row r="605" spans="1:8" x14ac:dyDescent="0.2">
      <c r="A605"/>
      <c r="B605"/>
      <c r="C605"/>
      <c r="D605"/>
      <c r="E605"/>
      <c r="F605"/>
      <c r="G605"/>
      <c r="H605"/>
    </row>
    <row r="606" spans="1:8" x14ac:dyDescent="0.2">
      <c r="A606"/>
      <c r="B606"/>
      <c r="C606"/>
      <c r="D606"/>
      <c r="E606"/>
      <c r="F606"/>
      <c r="G606"/>
      <c r="H606"/>
    </row>
    <row r="607" spans="1:8" x14ac:dyDescent="0.2">
      <c r="A607"/>
      <c r="B607"/>
      <c r="C607"/>
      <c r="D607"/>
      <c r="E607"/>
      <c r="F607"/>
      <c r="G607"/>
      <c r="H607"/>
    </row>
    <row r="608" spans="1:8" x14ac:dyDescent="0.2">
      <c r="A608"/>
      <c r="B608"/>
      <c r="C608"/>
      <c r="D608"/>
      <c r="E608"/>
      <c r="F608"/>
      <c r="G608"/>
      <c r="H608"/>
    </row>
    <row r="609" spans="1:8" x14ac:dyDescent="0.2">
      <c r="A609"/>
      <c r="B609"/>
      <c r="C609"/>
      <c r="D609"/>
      <c r="E609"/>
      <c r="F609"/>
      <c r="G609"/>
      <c r="H609"/>
    </row>
    <row r="610" spans="1:8" x14ac:dyDescent="0.2">
      <c r="A610"/>
      <c r="B610"/>
      <c r="C610"/>
      <c r="D610"/>
      <c r="E610"/>
      <c r="F610"/>
      <c r="G610"/>
      <c r="H610"/>
    </row>
    <row r="611" spans="1:8" x14ac:dyDescent="0.2">
      <c r="A611"/>
      <c r="B611"/>
      <c r="C611"/>
      <c r="D611"/>
      <c r="E611"/>
      <c r="F611"/>
      <c r="G611"/>
      <c r="H611"/>
    </row>
    <row r="612" spans="1:8" x14ac:dyDescent="0.2">
      <c r="A612"/>
      <c r="B612"/>
      <c r="C612"/>
      <c r="D612"/>
      <c r="E612"/>
      <c r="F612"/>
      <c r="G612"/>
      <c r="H612"/>
    </row>
    <row r="613" spans="1:8" x14ac:dyDescent="0.2">
      <c r="A613"/>
      <c r="B613"/>
      <c r="C613"/>
      <c r="D613"/>
      <c r="E613"/>
      <c r="F613"/>
      <c r="G613"/>
      <c r="H613"/>
    </row>
    <row r="614" spans="1:8" x14ac:dyDescent="0.2">
      <c r="A614"/>
      <c r="B614"/>
      <c r="C614"/>
      <c r="D614"/>
      <c r="E614"/>
      <c r="F614"/>
      <c r="G614"/>
      <c r="H614"/>
    </row>
    <row r="615" spans="1:8" x14ac:dyDescent="0.2">
      <c r="A615"/>
      <c r="B615"/>
      <c r="C615"/>
      <c r="D615"/>
      <c r="E615"/>
      <c r="F615"/>
      <c r="G615"/>
      <c r="H615"/>
    </row>
    <row r="616" spans="1:8" x14ac:dyDescent="0.2">
      <c r="A616"/>
      <c r="B616"/>
      <c r="C616"/>
      <c r="D616"/>
      <c r="E616"/>
      <c r="F616"/>
      <c r="G616"/>
      <c r="H616"/>
    </row>
    <row r="617" spans="1:8" x14ac:dyDescent="0.2">
      <c r="A617"/>
      <c r="B617"/>
      <c r="C617"/>
      <c r="D617"/>
      <c r="E617"/>
      <c r="F617"/>
      <c r="G617"/>
      <c r="H617"/>
    </row>
    <row r="618" spans="1:8" x14ac:dyDescent="0.2">
      <c r="A618"/>
      <c r="B618"/>
      <c r="C618"/>
      <c r="D618"/>
      <c r="E618"/>
      <c r="F618"/>
      <c r="G618"/>
      <c r="H618"/>
    </row>
    <row r="619" spans="1:8" x14ac:dyDescent="0.2">
      <c r="A619"/>
      <c r="B619"/>
      <c r="C619"/>
      <c r="D619"/>
      <c r="E619"/>
      <c r="F619"/>
      <c r="G619"/>
      <c r="H619"/>
    </row>
    <row r="620" spans="1:8" x14ac:dyDescent="0.2">
      <c r="A620"/>
      <c r="B620"/>
      <c r="C620"/>
      <c r="D620"/>
      <c r="E620"/>
      <c r="F620"/>
      <c r="G620"/>
      <c r="H620"/>
    </row>
    <row r="621" spans="1:8" x14ac:dyDescent="0.2">
      <c r="A621"/>
      <c r="B621"/>
      <c r="C621"/>
      <c r="D621"/>
      <c r="E621"/>
      <c r="F621"/>
      <c r="G621"/>
      <c r="H621"/>
    </row>
    <row r="622" spans="1:8" x14ac:dyDescent="0.2">
      <c r="A622"/>
      <c r="B622"/>
      <c r="C622"/>
      <c r="D622"/>
      <c r="E622"/>
      <c r="F622"/>
      <c r="G622"/>
      <c r="H622"/>
    </row>
    <row r="623" spans="1:8" x14ac:dyDescent="0.2">
      <c r="A623"/>
      <c r="B623"/>
      <c r="C623"/>
      <c r="D623"/>
      <c r="E623"/>
      <c r="F623"/>
      <c r="G623"/>
      <c r="H623"/>
    </row>
    <row r="624" spans="1:8" x14ac:dyDescent="0.2">
      <c r="A624"/>
      <c r="B624"/>
      <c r="C624"/>
      <c r="D624"/>
      <c r="E624"/>
      <c r="F624"/>
      <c r="G624"/>
      <c r="H624"/>
    </row>
    <row r="625" spans="1:8" x14ac:dyDescent="0.2">
      <c r="A625"/>
      <c r="B625"/>
      <c r="C625"/>
      <c r="D625"/>
      <c r="E625"/>
      <c r="F625"/>
      <c r="G625"/>
      <c r="H625"/>
    </row>
    <row r="626" spans="1:8" x14ac:dyDescent="0.2">
      <c r="A626"/>
      <c r="B626"/>
      <c r="C626"/>
      <c r="D626"/>
      <c r="E626"/>
      <c r="F626"/>
      <c r="G626"/>
      <c r="H626"/>
    </row>
    <row r="627" spans="1:8" x14ac:dyDescent="0.2">
      <c r="A627"/>
      <c r="B627"/>
      <c r="C627"/>
      <c r="D627"/>
      <c r="E627"/>
      <c r="F627"/>
      <c r="G627"/>
      <c r="H627"/>
    </row>
    <row r="628" spans="1:8" x14ac:dyDescent="0.2">
      <c r="A628"/>
      <c r="B628"/>
      <c r="C628"/>
      <c r="D628"/>
      <c r="E628"/>
      <c r="F628"/>
      <c r="G628"/>
      <c r="H628"/>
    </row>
    <row r="629" spans="1:8" x14ac:dyDescent="0.2">
      <c r="A629"/>
      <c r="B629"/>
      <c r="C629"/>
      <c r="D629"/>
      <c r="E629"/>
      <c r="F629"/>
      <c r="G629"/>
      <c r="H629"/>
    </row>
    <row r="630" spans="1:8" x14ac:dyDescent="0.2">
      <c r="A630"/>
      <c r="B630"/>
      <c r="C630"/>
      <c r="D630"/>
      <c r="E630"/>
      <c r="F630"/>
      <c r="G630"/>
      <c r="H630"/>
    </row>
    <row r="631" spans="1:8" x14ac:dyDescent="0.2">
      <c r="A631"/>
      <c r="B631"/>
      <c r="C631"/>
      <c r="D631"/>
      <c r="E631"/>
      <c r="F631"/>
      <c r="G631"/>
      <c r="H631"/>
    </row>
    <row r="632" spans="1:8" x14ac:dyDescent="0.2">
      <c r="A632"/>
      <c r="B632"/>
      <c r="C632"/>
      <c r="D632"/>
      <c r="E632"/>
      <c r="F632"/>
      <c r="G632"/>
      <c r="H632"/>
    </row>
    <row r="633" spans="1:8" x14ac:dyDescent="0.2">
      <c r="A633"/>
      <c r="B633"/>
      <c r="C633"/>
      <c r="D633"/>
      <c r="E633"/>
      <c r="F633"/>
      <c r="G633"/>
      <c r="H633"/>
    </row>
    <row r="634" spans="1:8" x14ac:dyDescent="0.2">
      <c r="A634"/>
      <c r="B634"/>
      <c r="C634"/>
      <c r="D634"/>
      <c r="E634"/>
      <c r="F634"/>
      <c r="G634"/>
      <c r="H634"/>
    </row>
    <row r="635" spans="1:8" x14ac:dyDescent="0.2">
      <c r="A635"/>
      <c r="B635"/>
      <c r="C635"/>
      <c r="D635"/>
      <c r="E635"/>
      <c r="F635"/>
      <c r="G635"/>
      <c r="H635"/>
    </row>
    <row r="636" spans="1:8" x14ac:dyDescent="0.2">
      <c r="A636"/>
      <c r="B636"/>
      <c r="C636"/>
      <c r="D636"/>
      <c r="E636"/>
      <c r="F636"/>
      <c r="G636"/>
      <c r="H636"/>
    </row>
    <row r="637" spans="1:8" x14ac:dyDescent="0.2">
      <c r="A637"/>
      <c r="B637"/>
      <c r="C637"/>
      <c r="D637"/>
      <c r="E637"/>
      <c r="F637"/>
      <c r="G637"/>
      <c r="H637"/>
    </row>
    <row r="638" spans="1:8" x14ac:dyDescent="0.2">
      <c r="A638"/>
      <c r="B638"/>
      <c r="C638"/>
      <c r="D638"/>
      <c r="E638"/>
      <c r="F638"/>
      <c r="G638"/>
      <c r="H638"/>
    </row>
    <row r="639" spans="1:8" x14ac:dyDescent="0.2">
      <c r="A639"/>
      <c r="B639"/>
      <c r="C639"/>
      <c r="D639"/>
      <c r="E639"/>
      <c r="F639"/>
      <c r="G639"/>
      <c r="H639"/>
    </row>
    <row r="640" spans="1:8" x14ac:dyDescent="0.2">
      <c r="A640"/>
      <c r="B640"/>
      <c r="C640"/>
      <c r="D640"/>
      <c r="E640"/>
      <c r="F640"/>
      <c r="G640"/>
      <c r="H640"/>
    </row>
    <row r="641" spans="1:8" x14ac:dyDescent="0.2">
      <c r="A641"/>
      <c r="B641"/>
      <c r="C641"/>
      <c r="D641"/>
      <c r="E641"/>
      <c r="F641"/>
      <c r="G641"/>
      <c r="H641"/>
    </row>
    <row r="642" spans="1:8" x14ac:dyDescent="0.2">
      <c r="A642"/>
      <c r="B642"/>
      <c r="C642"/>
      <c r="D642"/>
      <c r="E642"/>
      <c r="F642"/>
      <c r="G642"/>
      <c r="H642"/>
    </row>
    <row r="643" spans="1:8" x14ac:dyDescent="0.2">
      <c r="A643"/>
      <c r="B643"/>
      <c r="C643"/>
      <c r="D643"/>
      <c r="E643"/>
      <c r="F643"/>
      <c r="G643"/>
      <c r="H643"/>
    </row>
    <row r="644" spans="1:8" x14ac:dyDescent="0.2">
      <c r="A644"/>
      <c r="B644"/>
      <c r="C644"/>
      <c r="D644"/>
      <c r="E644"/>
      <c r="F644"/>
      <c r="G644"/>
      <c r="H644"/>
    </row>
    <row r="645" spans="1:8" x14ac:dyDescent="0.2">
      <c r="A645"/>
      <c r="B645"/>
      <c r="C645"/>
      <c r="D645"/>
      <c r="E645"/>
      <c r="F645"/>
      <c r="G645"/>
      <c r="H645"/>
    </row>
    <row r="646" spans="1:8" x14ac:dyDescent="0.2">
      <c r="A646"/>
      <c r="B646"/>
      <c r="C646"/>
      <c r="D646"/>
      <c r="E646"/>
      <c r="F646"/>
      <c r="G646"/>
      <c r="H646"/>
    </row>
    <row r="647" spans="1:8" x14ac:dyDescent="0.2">
      <c r="A647"/>
      <c r="B647"/>
      <c r="C647"/>
      <c r="D647"/>
      <c r="E647"/>
      <c r="F647"/>
      <c r="G647"/>
      <c r="H647"/>
    </row>
    <row r="648" spans="1:8" x14ac:dyDescent="0.2">
      <c r="A648"/>
      <c r="B648"/>
      <c r="C648"/>
      <c r="D648"/>
      <c r="E648"/>
      <c r="F648"/>
      <c r="G648"/>
      <c r="H648"/>
    </row>
    <row r="649" spans="1:8" x14ac:dyDescent="0.2">
      <c r="A649"/>
      <c r="B649"/>
      <c r="C649"/>
      <c r="D649"/>
      <c r="E649"/>
      <c r="F649"/>
      <c r="G649"/>
      <c r="H649"/>
    </row>
    <row r="650" spans="1:8" x14ac:dyDescent="0.2">
      <c r="A650"/>
      <c r="B650"/>
      <c r="C650"/>
      <c r="D650"/>
      <c r="E650"/>
      <c r="F650"/>
      <c r="G650"/>
      <c r="H650"/>
    </row>
    <row r="651" spans="1:8" x14ac:dyDescent="0.2">
      <c r="A651"/>
      <c r="B651"/>
      <c r="C651"/>
      <c r="D651"/>
      <c r="E651"/>
      <c r="F651"/>
      <c r="G651"/>
      <c r="H651"/>
    </row>
    <row r="652" spans="1:8" x14ac:dyDescent="0.2">
      <c r="A652"/>
      <c r="B652"/>
      <c r="C652"/>
      <c r="D652"/>
      <c r="E652"/>
      <c r="F652"/>
      <c r="G652"/>
      <c r="H652"/>
    </row>
    <row r="653" spans="1:8" x14ac:dyDescent="0.2">
      <c r="A653"/>
      <c r="B653"/>
      <c r="C653"/>
      <c r="D653"/>
      <c r="E653"/>
      <c r="F653"/>
      <c r="G653"/>
      <c r="H653"/>
    </row>
    <row r="654" spans="1:8" x14ac:dyDescent="0.2">
      <c r="A654"/>
      <c r="B654"/>
      <c r="C654"/>
      <c r="D654"/>
      <c r="E654"/>
      <c r="F654"/>
      <c r="G654"/>
      <c r="H654"/>
    </row>
    <row r="655" spans="1:8" x14ac:dyDescent="0.2">
      <c r="A655"/>
      <c r="B655"/>
      <c r="C655"/>
      <c r="D655"/>
      <c r="E655"/>
      <c r="F655"/>
      <c r="G655"/>
      <c r="H655"/>
    </row>
    <row r="656" spans="1:8" x14ac:dyDescent="0.2">
      <c r="A656"/>
      <c r="B656"/>
      <c r="C656"/>
      <c r="D656"/>
      <c r="E656"/>
      <c r="F656"/>
      <c r="G656"/>
      <c r="H656"/>
    </row>
    <row r="657" spans="1:8" x14ac:dyDescent="0.2">
      <c r="A657"/>
      <c r="B657"/>
      <c r="C657"/>
      <c r="D657"/>
      <c r="E657"/>
      <c r="F657"/>
      <c r="G657"/>
      <c r="H657"/>
    </row>
    <row r="658" spans="1:8" x14ac:dyDescent="0.2">
      <c r="A658"/>
      <c r="B658"/>
      <c r="C658"/>
      <c r="D658"/>
      <c r="E658"/>
      <c r="F658"/>
      <c r="G658"/>
      <c r="H658"/>
    </row>
    <row r="659" spans="1:8" x14ac:dyDescent="0.2">
      <c r="A659"/>
      <c r="B659"/>
      <c r="C659"/>
      <c r="D659"/>
      <c r="E659"/>
      <c r="F659"/>
      <c r="G659"/>
      <c r="H659"/>
    </row>
    <row r="660" spans="1:8" x14ac:dyDescent="0.2">
      <c r="A660"/>
      <c r="B660"/>
      <c r="C660"/>
      <c r="D660"/>
      <c r="E660"/>
      <c r="F660"/>
      <c r="G660"/>
      <c r="H660"/>
    </row>
    <row r="661" spans="1:8" x14ac:dyDescent="0.2">
      <c r="A661"/>
      <c r="B661"/>
      <c r="C661"/>
      <c r="D661"/>
      <c r="E661"/>
      <c r="F661"/>
      <c r="G661"/>
      <c r="H661"/>
    </row>
    <row r="662" spans="1:8" x14ac:dyDescent="0.2">
      <c r="A662"/>
      <c r="B662"/>
      <c r="C662"/>
      <c r="D662"/>
      <c r="E662"/>
      <c r="F662"/>
      <c r="G662"/>
      <c r="H662"/>
    </row>
    <row r="663" spans="1:8" x14ac:dyDescent="0.2">
      <c r="A663"/>
      <c r="B663"/>
      <c r="C663"/>
      <c r="D663"/>
      <c r="E663"/>
      <c r="F663"/>
      <c r="G663"/>
      <c r="H663"/>
    </row>
    <row r="664" spans="1:8" x14ac:dyDescent="0.2">
      <c r="A664"/>
      <c r="B664"/>
      <c r="C664"/>
      <c r="D664"/>
      <c r="E664"/>
      <c r="F664"/>
      <c r="G664"/>
      <c r="H664"/>
    </row>
    <row r="665" spans="1:8" x14ac:dyDescent="0.2">
      <c r="A665"/>
      <c r="B665"/>
      <c r="C665"/>
      <c r="D665"/>
      <c r="E665"/>
      <c r="F665"/>
      <c r="G665"/>
      <c r="H665"/>
    </row>
    <row r="666" spans="1:8" x14ac:dyDescent="0.2">
      <c r="A666"/>
      <c r="B666"/>
      <c r="C666"/>
      <c r="D666"/>
      <c r="E666"/>
      <c r="F666"/>
      <c r="G666"/>
      <c r="H666"/>
    </row>
    <row r="667" spans="1:8" x14ac:dyDescent="0.2">
      <c r="A667"/>
      <c r="B667"/>
      <c r="C667"/>
      <c r="D667"/>
      <c r="E667"/>
      <c r="F667"/>
      <c r="G667"/>
      <c r="H667"/>
    </row>
    <row r="668" spans="1:8" x14ac:dyDescent="0.2">
      <c r="A668"/>
      <c r="B668"/>
      <c r="C668"/>
      <c r="D668"/>
      <c r="E668"/>
      <c r="F668"/>
      <c r="G668"/>
      <c r="H668"/>
    </row>
    <row r="669" spans="1:8" x14ac:dyDescent="0.2">
      <c r="A669"/>
      <c r="B669"/>
      <c r="C669"/>
      <c r="D669"/>
      <c r="E669"/>
      <c r="F669"/>
      <c r="G669"/>
      <c r="H669"/>
    </row>
    <row r="670" spans="1:8" x14ac:dyDescent="0.2">
      <c r="A670"/>
      <c r="B670"/>
      <c r="C670"/>
      <c r="D670"/>
      <c r="E670"/>
      <c r="F670"/>
      <c r="G670"/>
      <c r="H670"/>
    </row>
    <row r="671" spans="1:8" x14ac:dyDescent="0.2">
      <c r="A671"/>
      <c r="B671"/>
      <c r="C671"/>
      <c r="D671"/>
      <c r="E671"/>
      <c r="F671"/>
      <c r="G671"/>
      <c r="H671"/>
    </row>
    <row r="672" spans="1:8" x14ac:dyDescent="0.2">
      <c r="A672"/>
      <c r="B672"/>
      <c r="C672"/>
      <c r="D672"/>
      <c r="E672"/>
      <c r="F672"/>
      <c r="G672"/>
      <c r="H672"/>
    </row>
    <row r="673" spans="1:8" x14ac:dyDescent="0.2">
      <c r="A673"/>
      <c r="B673"/>
      <c r="C673"/>
      <c r="D673"/>
      <c r="E673"/>
      <c r="F673"/>
      <c r="G673"/>
      <c r="H673"/>
    </row>
    <row r="674" spans="1:8" x14ac:dyDescent="0.2">
      <c r="A674"/>
      <c r="B674"/>
      <c r="C674"/>
      <c r="D674"/>
      <c r="E674"/>
      <c r="F674"/>
      <c r="G674"/>
      <c r="H674"/>
    </row>
    <row r="675" spans="1:8" x14ac:dyDescent="0.2">
      <c r="A675"/>
      <c r="B675"/>
      <c r="C675"/>
      <c r="D675"/>
      <c r="E675"/>
      <c r="F675"/>
      <c r="G675"/>
      <c r="H675"/>
    </row>
    <row r="676" spans="1:8" x14ac:dyDescent="0.2">
      <c r="A676"/>
      <c r="B676"/>
      <c r="C676"/>
      <c r="D676"/>
      <c r="E676"/>
      <c r="F676"/>
      <c r="G676"/>
      <c r="H676"/>
    </row>
    <row r="677" spans="1:8" x14ac:dyDescent="0.2">
      <c r="A677"/>
      <c r="B677"/>
      <c r="C677"/>
      <c r="D677"/>
      <c r="E677"/>
      <c r="F677"/>
      <c r="G677"/>
      <c r="H677"/>
    </row>
    <row r="678" spans="1:8" x14ac:dyDescent="0.2">
      <c r="A678"/>
      <c r="B678"/>
      <c r="C678"/>
      <c r="D678"/>
      <c r="E678"/>
      <c r="F678"/>
      <c r="G678"/>
      <c r="H678"/>
    </row>
    <row r="679" spans="1:8" x14ac:dyDescent="0.2">
      <c r="A679"/>
      <c r="B679"/>
      <c r="C679"/>
      <c r="D679"/>
      <c r="E679"/>
      <c r="F679"/>
      <c r="G679"/>
      <c r="H679"/>
    </row>
    <row r="680" spans="1:8" x14ac:dyDescent="0.2">
      <c r="A680"/>
      <c r="B680"/>
      <c r="C680"/>
      <c r="D680"/>
      <c r="E680"/>
      <c r="F680"/>
      <c r="G680"/>
      <c r="H680"/>
    </row>
    <row r="681" spans="1:8" x14ac:dyDescent="0.2">
      <c r="A681"/>
      <c r="B681"/>
      <c r="C681"/>
      <c r="D681"/>
      <c r="E681"/>
      <c r="F681"/>
      <c r="G681"/>
      <c r="H681"/>
    </row>
    <row r="682" spans="1:8" x14ac:dyDescent="0.2">
      <c r="A682"/>
      <c r="B682"/>
      <c r="C682"/>
      <c r="D682"/>
      <c r="E682"/>
      <c r="F682"/>
      <c r="G682"/>
      <c r="H682"/>
    </row>
    <row r="683" spans="1:8" x14ac:dyDescent="0.2">
      <c r="A683"/>
      <c r="B683"/>
      <c r="C683"/>
      <c r="D683"/>
      <c r="E683"/>
      <c r="F683"/>
      <c r="G683"/>
      <c r="H683"/>
    </row>
    <row r="684" spans="1:8" x14ac:dyDescent="0.2">
      <c r="A684"/>
      <c r="B684"/>
      <c r="C684"/>
      <c r="D684"/>
      <c r="E684"/>
      <c r="F684"/>
      <c r="G684"/>
      <c r="H684"/>
    </row>
    <row r="685" spans="1:8" x14ac:dyDescent="0.2">
      <c r="A685"/>
      <c r="B685"/>
      <c r="C685"/>
      <c r="D685"/>
      <c r="E685"/>
      <c r="F685"/>
      <c r="G685"/>
      <c r="H685"/>
    </row>
    <row r="686" spans="1:8" x14ac:dyDescent="0.2">
      <c r="A686"/>
      <c r="B686"/>
      <c r="C686"/>
      <c r="D686"/>
      <c r="E686"/>
      <c r="F686"/>
      <c r="G686"/>
      <c r="H686"/>
    </row>
    <row r="687" spans="1:8" x14ac:dyDescent="0.2">
      <c r="A687"/>
      <c r="B687"/>
      <c r="C687"/>
      <c r="D687"/>
      <c r="E687"/>
      <c r="F687"/>
      <c r="G687"/>
      <c r="H687"/>
    </row>
    <row r="688" spans="1:8" x14ac:dyDescent="0.2">
      <c r="A688"/>
      <c r="B688"/>
      <c r="C688"/>
      <c r="D688"/>
      <c r="E688"/>
      <c r="F688"/>
      <c r="G688"/>
      <c r="H688"/>
    </row>
    <row r="689" spans="1:8" x14ac:dyDescent="0.2">
      <c r="A689"/>
      <c r="B689"/>
      <c r="C689"/>
      <c r="D689"/>
      <c r="E689"/>
      <c r="F689"/>
      <c r="G689"/>
      <c r="H689"/>
    </row>
    <row r="690" spans="1:8" x14ac:dyDescent="0.2">
      <c r="A690"/>
      <c r="B690"/>
      <c r="C690"/>
      <c r="D690"/>
      <c r="E690"/>
      <c r="F690"/>
      <c r="G690"/>
      <c r="H690"/>
    </row>
    <row r="691" spans="1:8" x14ac:dyDescent="0.2">
      <c r="A691"/>
      <c r="B691"/>
      <c r="C691"/>
      <c r="D691"/>
      <c r="E691"/>
      <c r="F691"/>
      <c r="G691"/>
      <c r="H691"/>
    </row>
    <row r="692" spans="1:8" x14ac:dyDescent="0.2">
      <c r="A692"/>
      <c r="B692"/>
      <c r="C692"/>
      <c r="D692"/>
      <c r="E692"/>
      <c r="F692"/>
      <c r="G692"/>
      <c r="H692"/>
    </row>
    <row r="693" spans="1:8" x14ac:dyDescent="0.2">
      <c r="A693"/>
      <c r="B693"/>
      <c r="C693"/>
      <c r="D693"/>
      <c r="E693"/>
      <c r="F693"/>
      <c r="G693"/>
      <c r="H693"/>
    </row>
    <row r="694" spans="1:8" x14ac:dyDescent="0.2">
      <c r="A694"/>
      <c r="B694"/>
      <c r="C694"/>
      <c r="D694"/>
      <c r="E694"/>
      <c r="F694"/>
      <c r="G694"/>
      <c r="H694"/>
    </row>
    <row r="695" spans="1:8" x14ac:dyDescent="0.2">
      <c r="A695"/>
      <c r="B695"/>
      <c r="C695"/>
      <c r="D695"/>
      <c r="E695"/>
      <c r="F695"/>
      <c r="G695"/>
      <c r="H695"/>
    </row>
    <row r="696" spans="1:8" x14ac:dyDescent="0.2">
      <c r="A696"/>
      <c r="B696"/>
      <c r="C696"/>
      <c r="D696"/>
      <c r="E696"/>
      <c r="F696"/>
      <c r="G696"/>
      <c r="H696"/>
    </row>
    <row r="697" spans="1:8" x14ac:dyDescent="0.2">
      <c r="A697"/>
      <c r="B697"/>
      <c r="C697"/>
      <c r="D697"/>
      <c r="E697"/>
      <c r="F697"/>
      <c r="G697"/>
      <c r="H697"/>
    </row>
    <row r="698" spans="1:8" x14ac:dyDescent="0.2">
      <c r="A698"/>
      <c r="B698"/>
      <c r="C698"/>
      <c r="D698"/>
      <c r="E698"/>
      <c r="F698"/>
      <c r="G698"/>
      <c r="H698"/>
    </row>
    <row r="699" spans="1:8" x14ac:dyDescent="0.2">
      <c r="A699"/>
      <c r="B699"/>
      <c r="C699"/>
      <c r="D699"/>
      <c r="E699"/>
      <c r="F699"/>
      <c r="G699"/>
      <c r="H699"/>
    </row>
    <row r="700" spans="1:8" x14ac:dyDescent="0.2">
      <c r="A700"/>
      <c r="B700"/>
      <c r="C700"/>
      <c r="D700"/>
      <c r="E700"/>
      <c r="F700"/>
      <c r="G700"/>
      <c r="H700"/>
    </row>
    <row r="701" spans="1:8" x14ac:dyDescent="0.2">
      <c r="A701"/>
      <c r="B701"/>
      <c r="C701"/>
      <c r="D701"/>
      <c r="E701"/>
      <c r="F701"/>
      <c r="G701"/>
      <c r="H701"/>
    </row>
    <row r="702" spans="1:8" x14ac:dyDescent="0.2">
      <c r="A702"/>
      <c r="B702"/>
      <c r="C702"/>
      <c r="D702"/>
      <c r="E702"/>
      <c r="F702"/>
      <c r="G702"/>
      <c r="H702"/>
    </row>
    <row r="703" spans="1:8" x14ac:dyDescent="0.2">
      <c r="A703"/>
      <c r="B703"/>
      <c r="C703"/>
      <c r="D703"/>
      <c r="E703"/>
      <c r="F703"/>
      <c r="G703"/>
      <c r="H703"/>
    </row>
    <row r="704" spans="1:8" x14ac:dyDescent="0.2">
      <c r="A704"/>
      <c r="B704"/>
      <c r="C704"/>
      <c r="D704"/>
      <c r="E704"/>
      <c r="F704"/>
      <c r="G704"/>
      <c r="H704"/>
    </row>
    <row r="705" spans="1:8" x14ac:dyDescent="0.2">
      <c r="A705"/>
      <c r="B705"/>
      <c r="C705"/>
      <c r="D705"/>
      <c r="E705"/>
      <c r="F705"/>
      <c r="G705"/>
      <c r="H705"/>
    </row>
    <row r="706" spans="1:8" x14ac:dyDescent="0.2">
      <c r="A706"/>
      <c r="B706"/>
      <c r="C706"/>
      <c r="D706"/>
      <c r="E706"/>
      <c r="F706"/>
      <c r="G706"/>
      <c r="H706"/>
    </row>
    <row r="707" spans="1:8" x14ac:dyDescent="0.2">
      <c r="A707"/>
      <c r="B707"/>
      <c r="C707"/>
      <c r="D707"/>
      <c r="E707"/>
      <c r="F707"/>
      <c r="G707"/>
      <c r="H707"/>
    </row>
    <row r="708" spans="1:8" x14ac:dyDescent="0.2">
      <c r="A708"/>
      <c r="B708"/>
      <c r="C708"/>
      <c r="D708"/>
      <c r="E708"/>
      <c r="F708"/>
      <c r="G708"/>
      <c r="H708"/>
    </row>
    <row r="709" spans="1:8" x14ac:dyDescent="0.2">
      <c r="A709"/>
      <c r="B709"/>
      <c r="C709"/>
      <c r="D709"/>
      <c r="E709"/>
      <c r="F709"/>
      <c r="G709"/>
      <c r="H709"/>
    </row>
    <row r="710" spans="1:8" x14ac:dyDescent="0.2">
      <c r="A710"/>
      <c r="B710"/>
      <c r="C710"/>
      <c r="D710"/>
      <c r="E710"/>
      <c r="F710"/>
      <c r="G710"/>
      <c r="H710"/>
    </row>
    <row r="711" spans="1:8" x14ac:dyDescent="0.2">
      <c r="A711"/>
      <c r="B711"/>
      <c r="C711"/>
      <c r="D711"/>
      <c r="E711"/>
      <c r="F711"/>
      <c r="G711"/>
      <c r="H711"/>
    </row>
    <row r="712" spans="1:8" x14ac:dyDescent="0.2">
      <c r="A712"/>
      <c r="B712"/>
      <c r="C712"/>
      <c r="D712"/>
      <c r="E712"/>
      <c r="F712"/>
      <c r="G712"/>
      <c r="H712"/>
    </row>
    <row r="713" spans="1:8" x14ac:dyDescent="0.2">
      <c r="A713"/>
      <c r="B713"/>
      <c r="C713"/>
      <c r="D713"/>
      <c r="E713"/>
      <c r="F713"/>
      <c r="G713"/>
      <c r="H713"/>
    </row>
    <row r="714" spans="1:8" x14ac:dyDescent="0.2">
      <c r="A714"/>
      <c r="B714"/>
      <c r="C714"/>
      <c r="D714"/>
      <c r="E714"/>
      <c r="F714"/>
      <c r="G714"/>
      <c r="H714"/>
    </row>
    <row r="715" spans="1:8" x14ac:dyDescent="0.2">
      <c r="A715"/>
      <c r="B715"/>
      <c r="C715"/>
      <c r="D715"/>
      <c r="E715"/>
      <c r="F715"/>
      <c r="G715"/>
      <c r="H715"/>
    </row>
    <row r="716" spans="1:8" x14ac:dyDescent="0.2">
      <c r="A716"/>
      <c r="B716"/>
      <c r="C716"/>
      <c r="D716"/>
      <c r="E716"/>
      <c r="F716"/>
      <c r="G716"/>
      <c r="H716"/>
    </row>
    <row r="717" spans="1:8" x14ac:dyDescent="0.2">
      <c r="A717"/>
      <c r="B717"/>
      <c r="C717"/>
      <c r="D717"/>
      <c r="E717"/>
      <c r="F717"/>
      <c r="G717"/>
      <c r="H717"/>
    </row>
    <row r="718" spans="1:8" x14ac:dyDescent="0.2">
      <c r="A718"/>
      <c r="B718"/>
      <c r="C718"/>
      <c r="D718"/>
      <c r="E718"/>
      <c r="F718"/>
      <c r="G718"/>
      <c r="H718"/>
    </row>
    <row r="719" spans="1:8" x14ac:dyDescent="0.2">
      <c r="A719"/>
      <c r="B719"/>
      <c r="C719"/>
      <c r="D719"/>
      <c r="E719"/>
      <c r="F719"/>
      <c r="G719"/>
      <c r="H719"/>
    </row>
    <row r="720" spans="1:8" x14ac:dyDescent="0.2">
      <c r="A720"/>
      <c r="B720"/>
      <c r="C720"/>
      <c r="D720"/>
      <c r="E720"/>
      <c r="F720"/>
      <c r="G720"/>
      <c r="H720"/>
    </row>
    <row r="721" spans="1:8" x14ac:dyDescent="0.2">
      <c r="A721"/>
      <c r="B721"/>
      <c r="C721"/>
      <c r="D721"/>
      <c r="E721"/>
      <c r="F721"/>
      <c r="G721"/>
      <c r="H721"/>
    </row>
    <row r="722" spans="1:8" x14ac:dyDescent="0.2">
      <c r="A722"/>
      <c r="B722"/>
      <c r="C722"/>
      <c r="D722"/>
      <c r="E722"/>
      <c r="F722"/>
      <c r="G722"/>
      <c r="H722"/>
    </row>
    <row r="723" spans="1:8" x14ac:dyDescent="0.2">
      <c r="A723"/>
      <c r="B723"/>
      <c r="C723"/>
      <c r="D723"/>
      <c r="E723"/>
      <c r="F723"/>
      <c r="G723"/>
      <c r="H723"/>
    </row>
    <row r="724" spans="1:8" x14ac:dyDescent="0.2">
      <c r="A724"/>
      <c r="B724"/>
      <c r="C724"/>
      <c r="D724"/>
      <c r="E724"/>
      <c r="F724"/>
      <c r="G724"/>
      <c r="H724"/>
    </row>
    <row r="725" spans="1:8" x14ac:dyDescent="0.2">
      <c r="A725"/>
      <c r="B725"/>
      <c r="C725"/>
      <c r="D725"/>
      <c r="E725"/>
      <c r="F725"/>
      <c r="G725"/>
      <c r="H725"/>
    </row>
    <row r="726" spans="1:8" x14ac:dyDescent="0.2">
      <c r="A726"/>
      <c r="B726"/>
      <c r="C726"/>
      <c r="D726"/>
      <c r="E726"/>
      <c r="F726"/>
      <c r="G726"/>
      <c r="H726"/>
    </row>
    <row r="727" spans="1:8" x14ac:dyDescent="0.2">
      <c r="A727"/>
      <c r="B727"/>
      <c r="C727"/>
      <c r="D727"/>
      <c r="E727"/>
      <c r="F727"/>
      <c r="G727"/>
      <c r="H727"/>
    </row>
    <row r="728" spans="1:8" x14ac:dyDescent="0.2">
      <c r="A728"/>
      <c r="B728"/>
      <c r="C728"/>
      <c r="D728"/>
      <c r="E728"/>
      <c r="F728"/>
      <c r="G728"/>
      <c r="H728"/>
    </row>
    <row r="729" spans="1:8" x14ac:dyDescent="0.2">
      <c r="A729"/>
      <c r="B729"/>
      <c r="C729"/>
      <c r="D729"/>
      <c r="E729"/>
      <c r="F729"/>
      <c r="G729"/>
      <c r="H729"/>
    </row>
    <row r="730" spans="1:8" x14ac:dyDescent="0.2">
      <c r="A730"/>
      <c r="B730"/>
      <c r="C730"/>
      <c r="D730"/>
      <c r="E730"/>
      <c r="F730"/>
      <c r="G730"/>
      <c r="H730"/>
    </row>
    <row r="731" spans="1:8" x14ac:dyDescent="0.2">
      <c r="A731"/>
      <c r="B731"/>
      <c r="C731"/>
      <c r="D731"/>
      <c r="E731"/>
      <c r="F731"/>
      <c r="G731"/>
      <c r="H731"/>
    </row>
    <row r="732" spans="1:8" x14ac:dyDescent="0.2">
      <c r="A732"/>
      <c r="B732"/>
      <c r="C732"/>
      <c r="D732"/>
      <c r="E732"/>
      <c r="F732"/>
      <c r="G732"/>
      <c r="H732"/>
    </row>
    <row r="733" spans="1:8" x14ac:dyDescent="0.2">
      <c r="A733"/>
      <c r="B733"/>
      <c r="C733"/>
      <c r="D733"/>
      <c r="E733"/>
      <c r="F733"/>
      <c r="G733"/>
      <c r="H733"/>
    </row>
    <row r="734" spans="1:8" x14ac:dyDescent="0.2">
      <c r="A734"/>
      <c r="B734"/>
      <c r="C734"/>
      <c r="D734"/>
      <c r="E734"/>
      <c r="F734"/>
      <c r="G734"/>
      <c r="H734"/>
    </row>
    <row r="735" spans="1:8" x14ac:dyDescent="0.2">
      <c r="A735"/>
      <c r="B735"/>
      <c r="C735"/>
      <c r="D735"/>
      <c r="E735"/>
      <c r="F735"/>
      <c r="G735"/>
      <c r="H735"/>
    </row>
    <row r="736" spans="1:8" x14ac:dyDescent="0.2">
      <c r="A736"/>
      <c r="B736"/>
      <c r="C736"/>
      <c r="D736"/>
      <c r="E736"/>
      <c r="F736"/>
      <c r="G736"/>
      <c r="H736"/>
    </row>
    <row r="737" spans="1:8" x14ac:dyDescent="0.2">
      <c r="A737"/>
      <c r="B737"/>
      <c r="C737"/>
      <c r="D737"/>
      <c r="E737"/>
      <c r="F737"/>
      <c r="G737"/>
      <c r="H737"/>
    </row>
    <row r="738" spans="1:8" x14ac:dyDescent="0.2">
      <c r="A738"/>
      <c r="B738"/>
      <c r="C738"/>
      <c r="D738"/>
      <c r="E738"/>
      <c r="F738"/>
      <c r="G738"/>
      <c r="H738"/>
    </row>
    <row r="739" spans="1:8" x14ac:dyDescent="0.2">
      <c r="A739"/>
      <c r="B739"/>
      <c r="C739"/>
      <c r="D739"/>
      <c r="E739"/>
      <c r="F739"/>
      <c r="G739"/>
      <c r="H739"/>
    </row>
    <row r="740" spans="1:8" x14ac:dyDescent="0.2">
      <c r="A740"/>
      <c r="B740"/>
      <c r="C740"/>
      <c r="D740"/>
      <c r="E740"/>
      <c r="F740"/>
      <c r="G740"/>
      <c r="H740"/>
    </row>
    <row r="741" spans="1:8" x14ac:dyDescent="0.2">
      <c r="A741"/>
      <c r="B741"/>
      <c r="C741"/>
      <c r="D741"/>
      <c r="E741"/>
      <c r="F741"/>
      <c r="G741"/>
      <c r="H741"/>
    </row>
    <row r="742" spans="1:8" x14ac:dyDescent="0.2">
      <c r="A742"/>
      <c r="B742"/>
      <c r="C742"/>
      <c r="D742"/>
      <c r="E742"/>
      <c r="F742"/>
      <c r="G742"/>
      <c r="H742"/>
    </row>
    <row r="743" spans="1:8" x14ac:dyDescent="0.2">
      <c r="A743"/>
      <c r="B743"/>
      <c r="C743"/>
      <c r="D743"/>
      <c r="E743"/>
      <c r="F743"/>
      <c r="G743"/>
      <c r="H743"/>
    </row>
    <row r="744" spans="1:8" x14ac:dyDescent="0.2">
      <c r="A744"/>
      <c r="B744"/>
      <c r="C744"/>
      <c r="D744"/>
      <c r="E744"/>
      <c r="F744"/>
      <c r="G744"/>
      <c r="H744"/>
    </row>
    <row r="745" spans="1:8" x14ac:dyDescent="0.2">
      <c r="A745"/>
      <c r="B745"/>
      <c r="C745"/>
      <c r="D745"/>
      <c r="E745"/>
      <c r="F745"/>
      <c r="G745"/>
      <c r="H745"/>
    </row>
    <row r="746" spans="1:8" x14ac:dyDescent="0.2">
      <c r="A746"/>
      <c r="B746"/>
      <c r="C746"/>
      <c r="D746"/>
      <c r="E746"/>
      <c r="F746"/>
      <c r="G746"/>
      <c r="H746"/>
    </row>
    <row r="747" spans="1:8" x14ac:dyDescent="0.2">
      <c r="A747"/>
      <c r="B747"/>
      <c r="C747"/>
      <c r="D747"/>
      <c r="E747"/>
      <c r="F747"/>
      <c r="G747"/>
      <c r="H747"/>
    </row>
    <row r="748" spans="1:8" x14ac:dyDescent="0.2">
      <c r="A748"/>
      <c r="B748"/>
      <c r="C748"/>
      <c r="D748"/>
      <c r="E748"/>
      <c r="F748"/>
      <c r="G748"/>
      <c r="H748"/>
    </row>
    <row r="749" spans="1:8" x14ac:dyDescent="0.2">
      <c r="A749"/>
      <c r="B749"/>
      <c r="C749"/>
      <c r="D749"/>
      <c r="E749"/>
      <c r="F749"/>
      <c r="G749"/>
      <c r="H74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N64"/>
  <sheetViews>
    <sheetView showGridLines="0" zoomScaleNormal="100" workbookViewId="0">
      <selection activeCell="A2" sqref="A2:H64"/>
    </sheetView>
  </sheetViews>
  <sheetFormatPr defaultRowHeight="12.75" x14ac:dyDescent="0.2"/>
  <cols>
    <col min="1" max="1" width="16.5703125" customWidth="1"/>
    <col min="2" max="2" width="17.85546875" customWidth="1"/>
    <col min="3" max="3" width="17" customWidth="1"/>
    <col min="4" max="4" width="16.7109375" customWidth="1"/>
    <col min="5" max="7" width="14" customWidth="1"/>
    <col min="8" max="8" width="22.42578125" customWidth="1"/>
    <col min="9" max="10" width="17.5703125" customWidth="1"/>
    <col min="11" max="11" width="30.42578125" bestFit="1" customWidth="1"/>
    <col min="12" max="12" width="30.42578125" customWidth="1"/>
    <col min="13" max="13" width="17.28515625" customWidth="1"/>
    <col min="16" max="16" width="11.7109375" bestFit="1" customWidth="1"/>
    <col min="17" max="17" width="7.5703125" bestFit="1" customWidth="1"/>
    <col min="18" max="18" width="8" bestFit="1" customWidth="1"/>
    <col min="26" max="26" width="24.5703125" bestFit="1" customWidth="1"/>
    <col min="27" max="27" width="7.5703125" bestFit="1" customWidth="1"/>
    <col min="28" max="29" width="12.28515625" bestFit="1" customWidth="1"/>
    <col min="30" max="30" width="24.5703125" bestFit="1" customWidth="1"/>
    <col min="31" max="31" width="8.28515625" bestFit="1" customWidth="1"/>
    <col min="32" max="32" width="11.7109375" bestFit="1" customWidth="1"/>
    <col min="33" max="33" width="14.85546875" bestFit="1" customWidth="1"/>
    <col min="38" max="38" width="28.140625" bestFit="1" customWidth="1"/>
    <col min="39" max="39" width="7.5703125" bestFit="1" customWidth="1"/>
    <col min="40" max="40" width="9" bestFit="1" customWidth="1"/>
  </cols>
  <sheetData>
    <row r="1" spans="1:40" ht="12.75" customHeight="1" x14ac:dyDescent="0.2">
      <c r="A1" s="8" t="s">
        <v>39</v>
      </c>
      <c r="B1" s="8" t="s">
        <v>2</v>
      </c>
      <c r="C1" s="8" t="s">
        <v>40</v>
      </c>
      <c r="D1" s="8" t="s">
        <v>49</v>
      </c>
      <c r="E1" s="8" t="s">
        <v>52</v>
      </c>
      <c r="F1" s="8" t="s">
        <v>43</v>
      </c>
      <c r="G1" s="8" t="s">
        <v>41</v>
      </c>
      <c r="H1" s="8" t="s">
        <v>63</v>
      </c>
      <c r="I1" s="8" t="s">
        <v>35</v>
      </c>
      <c r="J1" s="8" t="s">
        <v>44</v>
      </c>
      <c r="K1" s="8" t="s">
        <v>64</v>
      </c>
      <c r="L1" s="8" t="s">
        <v>3</v>
      </c>
      <c r="M1" s="8" t="s">
        <v>65</v>
      </c>
      <c r="P1" s="24" t="s">
        <v>69</v>
      </c>
      <c r="Q1" s="25"/>
      <c r="R1" s="25"/>
      <c r="S1" s="25"/>
      <c r="T1" s="26"/>
      <c r="U1" s="24">
        <v>201810</v>
      </c>
      <c r="V1" s="26"/>
      <c r="Z1" s="23" t="s">
        <v>72</v>
      </c>
      <c r="AA1" s="23"/>
      <c r="AB1" s="23"/>
      <c r="AL1" s="23" t="s">
        <v>76</v>
      </c>
      <c r="AM1" s="23"/>
      <c r="AN1" s="23"/>
    </row>
    <row r="2" spans="1:40" ht="12.75" customHeight="1" x14ac:dyDescent="0.2">
      <c r="A2" t="s">
        <v>29</v>
      </c>
      <c r="B2">
        <v>24030</v>
      </c>
      <c r="C2" s="9">
        <v>43375</v>
      </c>
      <c r="D2">
        <v>8020</v>
      </c>
      <c r="E2">
        <v>101</v>
      </c>
      <c r="F2">
        <v>1</v>
      </c>
      <c r="G2">
        <v>130</v>
      </c>
      <c r="H2">
        <v>1560</v>
      </c>
      <c r="I2" s="7" t="str">
        <f>VLOOKUP(TableTemp[[#This Row],[Company ID]],MCompany[],2,FALSE)</f>
        <v>Meta Creations</v>
      </c>
      <c r="J2" t="str">
        <f>VLOOKUP(TableTemp[[#This Row],[Customer code]],MCustomer[],2,FALSE)</f>
        <v>Erma</v>
      </c>
      <c r="K2" t="str">
        <f>VLOOKUP(TableTemp[[#This Row],[Article code]],MArticle[],2,FALSE)</f>
        <v>Men type T simple white</v>
      </c>
      <c r="L2" t="str">
        <f>VLOOKUP(TableTemp[[#This Row],[Company ID]],MCompany[],3,FALSE)</f>
        <v>USD</v>
      </c>
      <c r="M2">
        <f>IF(TableTemp[[#This Row],[Currency]]="EUR",ROUND(VLOOKUP(MONTH(TableTemp[[#This Row],[Document Date]]),MExchange[],2,FALSE)*TableTemp[[#This Row],[Sales Local Currency]],2),ROUND(TableTemp[[#This Row],[Sales Local Currency]],2))</f>
        <v>1560</v>
      </c>
      <c r="P2" s="27"/>
      <c r="Q2" s="23"/>
      <c r="R2" s="23"/>
      <c r="S2" s="23"/>
      <c r="T2" s="28"/>
      <c r="U2" s="27"/>
      <c r="V2" s="28"/>
      <c r="Z2" s="23"/>
      <c r="AA2" s="23"/>
      <c r="AB2" s="23"/>
      <c r="AL2" s="23"/>
      <c r="AM2" s="23"/>
      <c r="AN2" s="23"/>
    </row>
    <row r="3" spans="1:40" ht="12.75" customHeight="1" thickBot="1" x14ac:dyDescent="0.25">
      <c r="A3" t="s">
        <v>29</v>
      </c>
      <c r="B3">
        <v>24030</v>
      </c>
      <c r="C3" s="9">
        <v>43375</v>
      </c>
      <c r="D3">
        <v>8020</v>
      </c>
      <c r="E3">
        <v>102</v>
      </c>
      <c r="G3">
        <v>30</v>
      </c>
      <c r="H3">
        <v>360</v>
      </c>
      <c r="I3" s="32" t="str">
        <f>VLOOKUP(TableTemp[[#This Row],[Company ID]],MCompany[],2,FALSE)</f>
        <v>Meta Creations</v>
      </c>
      <c r="J3" s="32" t="str">
        <f>VLOOKUP(TableTemp[[#This Row],[Customer code]],MCustomer[],2,FALSE)</f>
        <v>Erma</v>
      </c>
      <c r="K3" s="32" t="str">
        <f>VLOOKUP(TableTemp[[#This Row],[Article code]],MArticle[],2,FALSE)</f>
        <v>Men type T simple black</v>
      </c>
      <c r="L3" s="32" t="str">
        <f>VLOOKUP(TableTemp[[#This Row],[Company ID]],MCompany[],3,FALSE)</f>
        <v>USD</v>
      </c>
      <c r="M3" s="32">
        <f>IF(TableTemp[[#This Row],[Currency]]="EUR",ROUND(VLOOKUP(MONTH(TableTemp[[#This Row],[Document Date]]),MExchange[],2,FALSE)*TableTemp[[#This Row],[Sales Local Currency]],2),ROUND(TableTemp[[#This Row],[Sales Local Currency]],2))</f>
        <v>360</v>
      </c>
      <c r="P3" s="29"/>
      <c r="Q3" s="30"/>
      <c r="R3" s="30"/>
      <c r="S3" s="30"/>
      <c r="T3" s="31"/>
      <c r="U3" s="29"/>
      <c r="V3" s="31"/>
      <c r="Z3" s="23"/>
      <c r="AA3" s="23"/>
      <c r="AB3" s="23"/>
      <c r="AL3" s="23"/>
      <c r="AM3" s="23"/>
      <c r="AN3" s="23"/>
    </row>
    <row r="4" spans="1:40" x14ac:dyDescent="0.2">
      <c r="A4" t="s">
        <v>29</v>
      </c>
      <c r="B4">
        <v>24030</v>
      </c>
      <c r="C4" s="9">
        <v>43375</v>
      </c>
      <c r="D4">
        <v>8020</v>
      </c>
      <c r="E4">
        <v>106</v>
      </c>
      <c r="F4" t="s">
        <v>62</v>
      </c>
      <c r="G4">
        <v>60</v>
      </c>
      <c r="H4">
        <v>300</v>
      </c>
      <c r="I4" s="32" t="str">
        <f>VLOOKUP(TableTemp[[#This Row],[Company ID]],MCompany[],2,FALSE)</f>
        <v>Meta Creations</v>
      </c>
      <c r="J4" s="32" t="str">
        <f>VLOOKUP(TableTemp[[#This Row],[Customer code]],MCustomer[],2,FALSE)</f>
        <v>Erma</v>
      </c>
      <c r="K4" s="32" t="str">
        <f>VLOOKUP(TableTemp[[#This Row],[Article code]],MArticle[],2,FALSE)</f>
        <v>Men basics</v>
      </c>
      <c r="L4" s="32" t="str">
        <f>VLOOKUP(TableTemp[[#This Row],[Company ID]],MCompany[],3,FALSE)</f>
        <v>USD</v>
      </c>
      <c r="M4" s="32">
        <f>IF(TableTemp[[#This Row],[Currency]]="EUR",ROUND(VLOOKUP(MONTH(TableTemp[[#This Row],[Document Date]]),MExchange[],2,FALSE)*TableTemp[[#This Row],[Sales Local Currency]],2),ROUND(TableTemp[[#This Row],[Sales Local Currency]],2))</f>
        <v>300</v>
      </c>
      <c r="P4" s="13" t="s">
        <v>68</v>
      </c>
      <c r="Q4" s="12" t="s">
        <v>67</v>
      </c>
      <c r="R4" t="s">
        <v>77</v>
      </c>
    </row>
    <row r="5" spans="1:40" x14ac:dyDescent="0.2">
      <c r="A5" t="s">
        <v>29</v>
      </c>
      <c r="B5">
        <v>24030</v>
      </c>
      <c r="C5" s="9">
        <v>43375</v>
      </c>
      <c r="D5">
        <v>8020</v>
      </c>
      <c r="E5">
        <v>108</v>
      </c>
      <c r="G5">
        <v>80</v>
      </c>
      <c r="H5">
        <v>2240</v>
      </c>
      <c r="I5" s="32" t="str">
        <f>VLOOKUP(TableTemp[[#This Row],[Company ID]],MCompany[],2,FALSE)</f>
        <v>Meta Creations</v>
      </c>
      <c r="J5" s="32" t="str">
        <f>VLOOKUP(TableTemp[[#This Row],[Customer code]],MCustomer[],2,FALSE)</f>
        <v>Erma</v>
      </c>
      <c r="K5" s="32" t="str">
        <f>VLOOKUP(TableTemp[[#This Row],[Article code]],MArticle[],2,FALSE)</f>
        <v>Laptop bag black</v>
      </c>
      <c r="L5" s="32" t="str">
        <f>VLOOKUP(TableTemp[[#This Row],[Company ID]],MCompany[],3,FALSE)</f>
        <v>USD</v>
      </c>
      <c r="M5" s="32">
        <f>IF(TableTemp[[#This Row],[Currency]]="EUR",ROUND(VLOOKUP(MONTH(TableTemp[[#This Row],[Document Date]]),MExchange[],2,FALSE)*TableTemp[[#This Row],[Sales Local Currency]],2),ROUND(TableTemp[[#This Row],[Sales Local Currency]],2))</f>
        <v>2240</v>
      </c>
      <c r="P5" s="11" t="s">
        <v>47</v>
      </c>
      <c r="Q5" s="14">
        <v>43240</v>
      </c>
      <c r="R5" s="15">
        <v>0.50431537205505017</v>
      </c>
    </row>
    <row r="6" spans="1:40" x14ac:dyDescent="0.2">
      <c r="A6" t="s">
        <v>29</v>
      </c>
      <c r="B6">
        <v>24031</v>
      </c>
      <c r="C6" s="9">
        <v>43381</v>
      </c>
      <c r="D6">
        <v>8020</v>
      </c>
      <c r="E6">
        <v>101</v>
      </c>
      <c r="F6" t="s">
        <v>62</v>
      </c>
      <c r="G6">
        <v>100</v>
      </c>
      <c r="H6">
        <v>1200</v>
      </c>
      <c r="I6" s="32" t="str">
        <f>VLOOKUP(TableTemp[[#This Row],[Company ID]],MCompany[],2,FALSE)</f>
        <v>Meta Creations</v>
      </c>
      <c r="J6" s="32" t="str">
        <f>VLOOKUP(TableTemp[[#This Row],[Customer code]],MCustomer[],2,FALSE)</f>
        <v>Erma</v>
      </c>
      <c r="K6" s="32" t="str">
        <f>VLOOKUP(TableTemp[[#This Row],[Article code]],MArticle[],2,FALSE)</f>
        <v>Men type T simple white</v>
      </c>
      <c r="L6" s="32" t="str">
        <f>VLOOKUP(TableTemp[[#This Row],[Company ID]],MCompany[],3,FALSE)</f>
        <v>USD</v>
      </c>
      <c r="M6" s="32">
        <f>IF(TableTemp[[#This Row],[Currency]]="EUR",ROUND(VLOOKUP(MONTH(TableTemp[[#This Row],[Document Date]]),MExchange[],2,FALSE)*TableTemp[[#This Row],[Sales Local Currency]],2),ROUND(TableTemp[[#This Row],[Sales Local Currency]],2))</f>
        <v>1200</v>
      </c>
      <c r="P6" s="11" t="s">
        <v>45</v>
      </c>
      <c r="Q6" s="14">
        <v>42500</v>
      </c>
      <c r="R6" s="15">
        <v>0.49568462794494983</v>
      </c>
    </row>
    <row r="7" spans="1:40" x14ac:dyDescent="0.2">
      <c r="A7" t="s">
        <v>29</v>
      </c>
      <c r="B7">
        <v>24031</v>
      </c>
      <c r="C7" s="9">
        <v>43381</v>
      </c>
      <c r="D7">
        <v>8020</v>
      </c>
      <c r="E7">
        <v>108</v>
      </c>
      <c r="F7" t="s">
        <v>62</v>
      </c>
      <c r="G7">
        <v>20</v>
      </c>
      <c r="H7">
        <v>560</v>
      </c>
      <c r="I7" s="32" t="str">
        <f>VLOOKUP(TableTemp[[#This Row],[Company ID]],MCompany[],2,FALSE)</f>
        <v>Meta Creations</v>
      </c>
      <c r="J7" s="32" t="str">
        <f>VLOOKUP(TableTemp[[#This Row],[Customer code]],MCustomer[],2,FALSE)</f>
        <v>Erma</v>
      </c>
      <c r="K7" s="32" t="str">
        <f>VLOOKUP(TableTemp[[#This Row],[Article code]],MArticle[],2,FALSE)</f>
        <v>Laptop bag black</v>
      </c>
      <c r="L7" s="32" t="str">
        <f>VLOOKUP(TableTemp[[#This Row],[Company ID]],MCompany[],3,FALSE)</f>
        <v>USD</v>
      </c>
      <c r="M7" s="32">
        <f>IF(TableTemp[[#This Row],[Currency]]="EUR",ROUND(VLOOKUP(MONTH(TableTemp[[#This Row],[Document Date]]),MExchange[],2,FALSE)*TableTemp[[#This Row],[Sales Local Currency]],2),ROUND(TableTemp[[#This Row],[Sales Local Currency]],2))</f>
        <v>560</v>
      </c>
      <c r="P7" s="11" t="s">
        <v>66</v>
      </c>
      <c r="Q7" s="14">
        <v>85740</v>
      </c>
      <c r="R7" s="15">
        <v>1</v>
      </c>
    </row>
    <row r="8" spans="1:40" x14ac:dyDescent="0.2">
      <c r="A8" t="s">
        <v>29</v>
      </c>
      <c r="B8">
        <v>24031</v>
      </c>
      <c r="C8" s="9">
        <v>43381</v>
      </c>
      <c r="D8">
        <v>8020</v>
      </c>
      <c r="E8">
        <v>113</v>
      </c>
      <c r="F8" t="s">
        <v>62</v>
      </c>
      <c r="G8">
        <v>100</v>
      </c>
      <c r="H8">
        <v>2500</v>
      </c>
      <c r="I8" s="32" t="str">
        <f>VLOOKUP(TableTemp[[#This Row],[Company ID]],MCompany[],2,FALSE)</f>
        <v>Meta Creations</v>
      </c>
      <c r="J8" s="32" t="str">
        <f>VLOOKUP(TableTemp[[#This Row],[Customer code]],MCustomer[],2,FALSE)</f>
        <v>Erma</v>
      </c>
      <c r="K8" s="32" t="str">
        <f>VLOOKUP(TableTemp[[#This Row],[Article code]],MArticle[],2,FALSE)</f>
        <v>Men dress shirt black</v>
      </c>
      <c r="L8" s="32" t="str">
        <f>VLOOKUP(TableTemp[[#This Row],[Company ID]],MCompany[],3,FALSE)</f>
        <v>USD</v>
      </c>
      <c r="M8" s="32">
        <f>IF(TableTemp[[#This Row],[Currency]]="EUR",ROUND(VLOOKUP(MONTH(TableTemp[[#This Row],[Document Date]]),MExchange[],2,FALSE)*TableTemp[[#This Row],[Sales Local Currency]],2),ROUND(TableTemp[[#This Row],[Sales Local Currency]],2))</f>
        <v>2500</v>
      </c>
    </row>
    <row r="9" spans="1:40" x14ac:dyDescent="0.2">
      <c r="A9" t="s">
        <v>29</v>
      </c>
      <c r="B9">
        <v>28112</v>
      </c>
      <c r="C9" s="9">
        <v>43385</v>
      </c>
      <c r="D9">
        <v>8020</v>
      </c>
      <c r="E9">
        <v>114</v>
      </c>
      <c r="F9">
        <v>1</v>
      </c>
      <c r="G9">
        <v>50</v>
      </c>
      <c r="H9">
        <v>1250</v>
      </c>
      <c r="I9" s="32" t="str">
        <f>VLOOKUP(TableTemp[[#This Row],[Company ID]],MCompany[],2,FALSE)</f>
        <v>Meta Creations</v>
      </c>
      <c r="J9" s="32" t="str">
        <f>VLOOKUP(TableTemp[[#This Row],[Customer code]],MCustomer[],2,FALSE)</f>
        <v>Erma</v>
      </c>
      <c r="K9" s="32" t="str">
        <f>VLOOKUP(TableTemp[[#This Row],[Article code]],MArticle[],2,FALSE)</f>
        <v>Men dress shirt grey</v>
      </c>
      <c r="L9" s="32" t="str">
        <f>VLOOKUP(TableTemp[[#This Row],[Company ID]],MCompany[],3,FALSE)</f>
        <v>USD</v>
      </c>
      <c r="M9" s="32">
        <f>IF(TableTemp[[#This Row],[Currency]]="EUR",ROUND(VLOOKUP(MONTH(TableTemp[[#This Row],[Document Date]]),MExchange[],2,FALSE)*TableTemp[[#This Row],[Sales Local Currency]],2),ROUND(TableTemp[[#This Row],[Sales Local Currency]],2))</f>
        <v>1250</v>
      </c>
      <c r="AM9" s="12" t="s">
        <v>67</v>
      </c>
      <c r="AN9" t="s">
        <v>75</v>
      </c>
    </row>
    <row r="10" spans="1:40" x14ac:dyDescent="0.2">
      <c r="A10" t="s">
        <v>29</v>
      </c>
      <c r="B10">
        <v>28112</v>
      </c>
      <c r="C10" s="9">
        <v>43385</v>
      </c>
      <c r="D10">
        <v>8020</v>
      </c>
      <c r="E10">
        <v>101</v>
      </c>
      <c r="F10" t="s">
        <v>62</v>
      </c>
      <c r="G10">
        <v>40</v>
      </c>
      <c r="H10">
        <v>480</v>
      </c>
      <c r="I10" s="32" t="str">
        <f>VLOOKUP(TableTemp[[#This Row],[Company ID]],MCompany[],2,FALSE)</f>
        <v>Meta Creations</v>
      </c>
      <c r="J10" s="32" t="str">
        <f>VLOOKUP(TableTemp[[#This Row],[Customer code]],MCustomer[],2,FALSE)</f>
        <v>Erma</v>
      </c>
      <c r="K10" s="32" t="str">
        <f>VLOOKUP(TableTemp[[#This Row],[Article code]],MArticle[],2,FALSE)</f>
        <v>Men type T simple white</v>
      </c>
      <c r="L10" s="32" t="str">
        <f>VLOOKUP(TableTemp[[#This Row],[Company ID]],MCompany[],3,FALSE)</f>
        <v>USD</v>
      </c>
      <c r="M10" s="32">
        <f>IF(TableTemp[[#This Row],[Currency]]="EUR",ROUND(VLOOKUP(MONTH(TableTemp[[#This Row],[Document Date]]),MExchange[],2,FALSE)*TableTemp[[#This Row],[Sales Local Currency]],2),ROUND(TableTemp[[#This Row],[Sales Local Currency]],2))</f>
        <v>480</v>
      </c>
      <c r="AL10" s="11" t="s">
        <v>46</v>
      </c>
      <c r="AM10" s="14">
        <v>19640</v>
      </c>
      <c r="AN10" s="33">
        <v>1260</v>
      </c>
    </row>
    <row r="11" spans="1:40" x14ac:dyDescent="0.2">
      <c r="A11" t="s">
        <v>29</v>
      </c>
      <c r="B11">
        <v>28112</v>
      </c>
      <c r="C11" s="9">
        <v>43385</v>
      </c>
      <c r="D11">
        <v>8020</v>
      </c>
      <c r="E11">
        <v>102</v>
      </c>
      <c r="G11">
        <v>70</v>
      </c>
      <c r="H11">
        <v>840</v>
      </c>
      <c r="I11" s="32" t="str">
        <f>VLOOKUP(TableTemp[[#This Row],[Company ID]],MCompany[],2,FALSE)</f>
        <v>Meta Creations</v>
      </c>
      <c r="J11" s="32" t="str">
        <f>VLOOKUP(TableTemp[[#This Row],[Customer code]],MCustomer[],2,FALSE)</f>
        <v>Erma</v>
      </c>
      <c r="K11" s="32" t="str">
        <f>VLOOKUP(TableTemp[[#This Row],[Article code]],MArticle[],2,FALSE)</f>
        <v>Men type T simple black</v>
      </c>
      <c r="L11" s="32" t="str">
        <f>VLOOKUP(TableTemp[[#This Row],[Company ID]],MCompany[],3,FALSE)</f>
        <v>USD</v>
      </c>
      <c r="M11" s="32">
        <f>IF(TableTemp[[#This Row],[Currency]]="EUR",ROUND(VLOOKUP(MONTH(TableTemp[[#This Row],[Document Date]]),MExchange[],2,FALSE)*TableTemp[[#This Row],[Sales Local Currency]],2),ROUND(TableTemp[[#This Row],[Sales Local Currency]],2))</f>
        <v>840</v>
      </c>
      <c r="Z11" s="10" t="s">
        <v>70</v>
      </c>
      <c r="AA11" t="s">
        <v>67</v>
      </c>
      <c r="AB11" t="s">
        <v>71</v>
      </c>
      <c r="AD11" s="10" t="s">
        <v>70</v>
      </c>
      <c r="AE11" t="s">
        <v>74</v>
      </c>
      <c r="AF11" t="s">
        <v>73</v>
      </c>
      <c r="AL11" s="17" t="s">
        <v>47</v>
      </c>
      <c r="AM11" s="14">
        <v>14620</v>
      </c>
      <c r="AN11" s="33">
        <v>910</v>
      </c>
    </row>
    <row r="12" spans="1:40" x14ac:dyDescent="0.2">
      <c r="A12" t="s">
        <v>29</v>
      </c>
      <c r="B12">
        <v>28112</v>
      </c>
      <c r="C12" s="9">
        <v>43385</v>
      </c>
      <c r="D12">
        <v>8020</v>
      </c>
      <c r="E12">
        <v>106</v>
      </c>
      <c r="G12">
        <v>70</v>
      </c>
      <c r="H12">
        <v>350</v>
      </c>
      <c r="I12" s="32" t="str">
        <f>VLOOKUP(TableTemp[[#This Row],[Company ID]],MCompany[],2,FALSE)</f>
        <v>Meta Creations</v>
      </c>
      <c r="J12" s="32" t="str">
        <f>VLOOKUP(TableTemp[[#This Row],[Customer code]],MCustomer[],2,FALSE)</f>
        <v>Erma</v>
      </c>
      <c r="K12" s="32" t="str">
        <f>VLOOKUP(TableTemp[[#This Row],[Article code]],MArticle[],2,FALSE)</f>
        <v>Men basics</v>
      </c>
      <c r="L12" s="32" t="str">
        <f>VLOOKUP(TableTemp[[#This Row],[Company ID]],MCompany[],3,FALSE)</f>
        <v>USD</v>
      </c>
      <c r="M12" s="32">
        <f>IF(TableTemp[[#This Row],[Currency]]="EUR",ROUND(VLOOKUP(MONTH(TableTemp[[#This Row],[Document Date]]),MExchange[],2,FALSE)*TableTemp[[#This Row],[Sales Local Currency]],2),ROUND(TableTemp[[#This Row],[Sales Local Currency]],2))</f>
        <v>350</v>
      </c>
      <c r="Z12" s="11" t="s">
        <v>11</v>
      </c>
      <c r="AA12" s="14">
        <v>3080</v>
      </c>
      <c r="AB12" s="33">
        <v>110</v>
      </c>
      <c r="AD12" s="11" t="s">
        <v>11</v>
      </c>
      <c r="AE12" s="33">
        <v>0</v>
      </c>
      <c r="AF12" s="16">
        <v>0</v>
      </c>
      <c r="AL12" s="18" t="s">
        <v>11</v>
      </c>
      <c r="AM12" s="14">
        <v>3080</v>
      </c>
      <c r="AN12" s="33">
        <v>110</v>
      </c>
    </row>
    <row r="13" spans="1:40" x14ac:dyDescent="0.2">
      <c r="A13" t="s">
        <v>29</v>
      </c>
      <c r="B13">
        <v>28112</v>
      </c>
      <c r="C13" s="9">
        <v>43385</v>
      </c>
      <c r="D13">
        <v>8020</v>
      </c>
      <c r="E13">
        <v>108</v>
      </c>
      <c r="G13">
        <v>10</v>
      </c>
      <c r="H13">
        <v>280</v>
      </c>
      <c r="I13" s="32" t="str">
        <f>VLOOKUP(TableTemp[[#This Row],[Company ID]],MCompany[],2,FALSE)</f>
        <v>Meta Creations</v>
      </c>
      <c r="J13" s="32" t="str">
        <f>VLOOKUP(TableTemp[[#This Row],[Customer code]],MCustomer[],2,FALSE)</f>
        <v>Erma</v>
      </c>
      <c r="K13" s="32" t="str">
        <f>VLOOKUP(TableTemp[[#This Row],[Article code]],MArticle[],2,FALSE)</f>
        <v>Laptop bag black</v>
      </c>
      <c r="L13" s="32" t="str">
        <f>VLOOKUP(TableTemp[[#This Row],[Company ID]],MCompany[],3,FALSE)</f>
        <v>USD</v>
      </c>
      <c r="M13" s="32">
        <f>IF(TableTemp[[#This Row],[Currency]]="EUR",ROUND(VLOOKUP(MONTH(TableTemp[[#This Row],[Document Date]]),MExchange[],2,FALSE)*TableTemp[[#This Row],[Sales Local Currency]],2),ROUND(TableTemp[[#This Row],[Sales Local Currency]],2))</f>
        <v>280</v>
      </c>
      <c r="Z13" s="11" t="s">
        <v>19</v>
      </c>
      <c r="AA13" s="14">
        <v>360</v>
      </c>
      <c r="AB13" s="33">
        <v>60</v>
      </c>
      <c r="AD13" s="11" t="s">
        <v>19</v>
      </c>
      <c r="AE13" s="33">
        <v>1</v>
      </c>
      <c r="AF13" s="16">
        <v>1.6666666666666666E-2</v>
      </c>
      <c r="AL13" s="18" t="s">
        <v>6</v>
      </c>
      <c r="AM13" s="14">
        <v>3240</v>
      </c>
      <c r="AN13" s="33">
        <v>270</v>
      </c>
    </row>
    <row r="14" spans="1:40" x14ac:dyDescent="0.2">
      <c r="A14" t="s">
        <v>29</v>
      </c>
      <c r="B14">
        <v>28112</v>
      </c>
      <c r="C14" s="9">
        <v>43385</v>
      </c>
      <c r="D14">
        <v>8020</v>
      </c>
      <c r="E14">
        <v>117</v>
      </c>
      <c r="G14">
        <v>80</v>
      </c>
      <c r="H14">
        <v>1440</v>
      </c>
      <c r="I14" s="32" t="str">
        <f>VLOOKUP(TableTemp[[#This Row],[Company ID]],MCompany[],2,FALSE)</f>
        <v>Meta Creations</v>
      </c>
      <c r="J14" s="32" t="str">
        <f>VLOOKUP(TableTemp[[#This Row],[Customer code]],MCustomer[],2,FALSE)</f>
        <v>Erma</v>
      </c>
      <c r="K14" s="32" t="str">
        <f>VLOOKUP(TableTemp[[#This Row],[Article code]],MArticle[],2,FALSE)</f>
        <v>Men shorts grey</v>
      </c>
      <c r="L14" s="32" t="str">
        <f>VLOOKUP(TableTemp[[#This Row],[Company ID]],MCompany[],3,FALSE)</f>
        <v>USD</v>
      </c>
      <c r="M14" s="32">
        <f>IF(TableTemp[[#This Row],[Currency]]="EUR",ROUND(VLOOKUP(MONTH(TableTemp[[#This Row],[Document Date]]),MExchange[],2,FALSE)*TableTemp[[#This Row],[Sales Local Currency]],2),ROUND(TableTemp[[#This Row],[Sales Local Currency]],2))</f>
        <v>1440</v>
      </c>
      <c r="Z14" s="11" t="s">
        <v>10</v>
      </c>
      <c r="AA14" s="14">
        <v>3200</v>
      </c>
      <c r="AB14" s="33">
        <v>640</v>
      </c>
      <c r="AD14" s="11" t="s">
        <v>10</v>
      </c>
      <c r="AE14" s="33">
        <v>2</v>
      </c>
      <c r="AF14" s="16">
        <v>3.1250000000000002E-3</v>
      </c>
      <c r="AL14" s="18" t="s">
        <v>7</v>
      </c>
      <c r="AM14" s="14">
        <v>1200</v>
      </c>
      <c r="AN14" s="33">
        <v>100</v>
      </c>
    </row>
    <row r="15" spans="1:40" x14ac:dyDescent="0.2">
      <c r="A15" t="s">
        <v>29</v>
      </c>
      <c r="B15">
        <v>28112</v>
      </c>
      <c r="C15" s="9">
        <v>43385</v>
      </c>
      <c r="D15">
        <v>8020</v>
      </c>
      <c r="E15">
        <v>118</v>
      </c>
      <c r="G15">
        <v>70</v>
      </c>
      <c r="H15">
        <v>1260</v>
      </c>
      <c r="I15" s="32" t="str">
        <f>VLOOKUP(TableTemp[[#This Row],[Company ID]],MCompany[],2,FALSE)</f>
        <v>Meta Creations</v>
      </c>
      <c r="J15" s="32" t="str">
        <f>VLOOKUP(TableTemp[[#This Row],[Customer code]],MCustomer[],2,FALSE)</f>
        <v>Erma</v>
      </c>
      <c r="K15" s="32" t="str">
        <f>VLOOKUP(TableTemp[[#This Row],[Article code]],MArticle[],2,FALSE)</f>
        <v>Men shorts black</v>
      </c>
      <c r="L15" s="32" t="str">
        <f>VLOOKUP(TableTemp[[#This Row],[Company ID]],MCompany[],3,FALSE)</f>
        <v>USD</v>
      </c>
      <c r="M15" s="32">
        <f>IF(TableTemp[[#This Row],[Currency]]="EUR",ROUND(VLOOKUP(MONTH(TableTemp[[#This Row],[Document Date]]),MExchange[],2,FALSE)*TableTemp[[#This Row],[Sales Local Currency]],2),ROUND(TableTemp[[#This Row],[Sales Local Currency]],2))</f>
        <v>1260</v>
      </c>
      <c r="Z15" s="11" t="s">
        <v>4</v>
      </c>
      <c r="AA15" s="14">
        <v>14300</v>
      </c>
      <c r="AB15" s="33">
        <v>1430</v>
      </c>
      <c r="AD15" s="11" t="s">
        <v>4</v>
      </c>
      <c r="AE15" s="33">
        <v>2</v>
      </c>
      <c r="AF15" s="16">
        <v>1.3986013986013986E-3</v>
      </c>
      <c r="AL15" s="18" t="s">
        <v>5</v>
      </c>
      <c r="AM15" s="14">
        <v>650</v>
      </c>
      <c r="AN15" s="33">
        <v>130</v>
      </c>
    </row>
    <row r="16" spans="1:40" x14ac:dyDescent="0.2">
      <c r="A16" t="s">
        <v>29</v>
      </c>
      <c r="B16">
        <v>25442</v>
      </c>
      <c r="C16" s="9">
        <v>43389</v>
      </c>
      <c r="D16">
        <v>8010</v>
      </c>
      <c r="E16">
        <v>118</v>
      </c>
      <c r="G16">
        <v>70</v>
      </c>
      <c r="H16">
        <v>1260</v>
      </c>
      <c r="I16" s="32" t="str">
        <f>VLOOKUP(TableTemp[[#This Row],[Company ID]],MCompany[],2,FALSE)</f>
        <v>Meta Creations</v>
      </c>
      <c r="J16" s="32" t="str">
        <f>VLOOKUP(TableTemp[[#This Row],[Customer code]],MCustomer[],2,FALSE)</f>
        <v>Dellicia</v>
      </c>
      <c r="K16" s="32" t="str">
        <f>VLOOKUP(TableTemp[[#This Row],[Article code]],MArticle[],2,FALSE)</f>
        <v>Men shorts black</v>
      </c>
      <c r="L16" s="32" t="str">
        <f>VLOOKUP(TableTemp[[#This Row],[Company ID]],MCompany[],3,FALSE)</f>
        <v>USD</v>
      </c>
      <c r="M16" s="32">
        <f>IF(TableTemp[[#This Row],[Currency]]="EUR",ROUND(VLOOKUP(MONTH(TableTemp[[#This Row],[Document Date]]),MExchange[],2,FALSE)*TableTemp[[#This Row],[Sales Local Currency]],2),ROUND(TableTemp[[#This Row],[Sales Local Currency]],2))</f>
        <v>1260</v>
      </c>
      <c r="Z16" s="11" t="s">
        <v>9</v>
      </c>
      <c r="AA16" s="14">
        <v>27960</v>
      </c>
      <c r="AB16" s="33">
        <v>2330</v>
      </c>
      <c r="AD16" s="11" t="s">
        <v>9</v>
      </c>
      <c r="AE16" s="33">
        <v>7</v>
      </c>
      <c r="AF16" s="16">
        <v>3.0042918454935624E-3</v>
      </c>
      <c r="AL16" s="18" t="s">
        <v>16</v>
      </c>
      <c r="AM16" s="14">
        <v>2500</v>
      </c>
      <c r="AN16" s="33">
        <v>100</v>
      </c>
    </row>
    <row r="17" spans="1:40" x14ac:dyDescent="0.2">
      <c r="A17" t="s">
        <v>29</v>
      </c>
      <c r="B17">
        <v>25442</v>
      </c>
      <c r="C17" s="9">
        <v>43389</v>
      </c>
      <c r="D17">
        <v>8010</v>
      </c>
      <c r="E17">
        <v>117</v>
      </c>
      <c r="F17">
        <v>6</v>
      </c>
      <c r="G17">
        <v>80</v>
      </c>
      <c r="H17">
        <v>1440</v>
      </c>
      <c r="I17" s="32" t="str">
        <f>VLOOKUP(TableTemp[[#This Row],[Company ID]],MCompany[],2,FALSE)</f>
        <v>Meta Creations</v>
      </c>
      <c r="J17" s="32" t="str">
        <f>VLOOKUP(TableTemp[[#This Row],[Customer code]],MCustomer[],2,FALSE)</f>
        <v>Dellicia</v>
      </c>
      <c r="K17" s="32" t="str">
        <f>VLOOKUP(TableTemp[[#This Row],[Article code]],MArticle[],2,FALSE)</f>
        <v>Men shorts grey</v>
      </c>
      <c r="L17" s="32" t="str">
        <f>VLOOKUP(TableTemp[[#This Row],[Company ID]],MCompany[],3,FALSE)</f>
        <v>USD</v>
      </c>
      <c r="M17" s="32">
        <f>IF(TableTemp[[#This Row],[Currency]]="EUR",ROUND(VLOOKUP(MONTH(TableTemp[[#This Row],[Document Date]]),MExchange[],2,FALSE)*TableTemp[[#This Row],[Sales Local Currency]],2),ROUND(TableTemp[[#This Row],[Sales Local Currency]],2))</f>
        <v>1440</v>
      </c>
      <c r="Z17" s="11" t="s">
        <v>8</v>
      </c>
      <c r="AA17" s="14">
        <v>20640</v>
      </c>
      <c r="AB17" s="33">
        <v>1720</v>
      </c>
      <c r="AD17" s="11" t="s">
        <v>8</v>
      </c>
      <c r="AE17" s="33">
        <v>1</v>
      </c>
      <c r="AF17" s="16">
        <v>5.8139534883720929E-4</v>
      </c>
      <c r="AL17" s="18" t="s">
        <v>17</v>
      </c>
      <c r="AM17" s="14">
        <v>1250</v>
      </c>
      <c r="AN17" s="33">
        <v>50</v>
      </c>
    </row>
    <row r="18" spans="1:40" x14ac:dyDescent="0.2">
      <c r="A18" t="s">
        <v>29</v>
      </c>
      <c r="B18">
        <v>25442</v>
      </c>
      <c r="C18" s="9">
        <v>43389</v>
      </c>
      <c r="D18">
        <v>8010</v>
      </c>
      <c r="E18">
        <v>118</v>
      </c>
      <c r="G18">
        <v>70</v>
      </c>
      <c r="H18">
        <v>1260</v>
      </c>
      <c r="I18" s="32" t="str">
        <f>VLOOKUP(TableTemp[[#This Row],[Company ID]],MCompany[],2,FALSE)</f>
        <v>Meta Creations</v>
      </c>
      <c r="J18" s="32" t="str">
        <f>VLOOKUP(TableTemp[[#This Row],[Customer code]],MCustomer[],2,FALSE)</f>
        <v>Dellicia</v>
      </c>
      <c r="K18" s="32" t="str">
        <f>VLOOKUP(TableTemp[[#This Row],[Article code]],MArticle[],2,FALSE)</f>
        <v>Men shorts black</v>
      </c>
      <c r="L18" s="32" t="str">
        <f>VLOOKUP(TableTemp[[#This Row],[Company ID]],MCompany[],3,FALSE)</f>
        <v>USD</v>
      </c>
      <c r="M18" s="32">
        <f>IF(TableTemp[[#This Row],[Currency]]="EUR",ROUND(VLOOKUP(MONTH(TableTemp[[#This Row],[Document Date]]),MExchange[],2,FALSE)*TableTemp[[#This Row],[Sales Local Currency]],2),ROUND(TableTemp[[#This Row],[Sales Local Currency]],2))</f>
        <v>1260</v>
      </c>
      <c r="Z18" s="11" t="s">
        <v>6</v>
      </c>
      <c r="AA18" s="14">
        <v>3720</v>
      </c>
      <c r="AB18" s="33">
        <v>310</v>
      </c>
      <c r="AD18" s="11" t="s">
        <v>6</v>
      </c>
      <c r="AE18" s="33">
        <v>1</v>
      </c>
      <c r="AF18" s="16">
        <v>3.2258064516129032E-3</v>
      </c>
      <c r="AL18" s="18" t="s">
        <v>20</v>
      </c>
      <c r="AM18" s="14">
        <v>1440</v>
      </c>
      <c r="AN18" s="33">
        <v>80</v>
      </c>
    </row>
    <row r="19" spans="1:40" x14ac:dyDescent="0.2">
      <c r="A19" t="s">
        <v>29</v>
      </c>
      <c r="B19">
        <v>25442</v>
      </c>
      <c r="C19" s="9">
        <v>43389</v>
      </c>
      <c r="D19">
        <v>8010</v>
      </c>
      <c r="E19">
        <v>116</v>
      </c>
      <c r="F19">
        <v>1</v>
      </c>
      <c r="G19">
        <v>60</v>
      </c>
      <c r="H19">
        <v>360</v>
      </c>
      <c r="I19" s="32" t="str">
        <f>VLOOKUP(TableTemp[[#This Row],[Company ID]],MCompany[],2,FALSE)</f>
        <v>Meta Creations</v>
      </c>
      <c r="J19" s="32" t="str">
        <f>VLOOKUP(TableTemp[[#This Row],[Customer code]],MCustomer[],2,FALSE)</f>
        <v>Dellicia</v>
      </c>
      <c r="K19" s="32" t="str">
        <f>VLOOKUP(TableTemp[[#This Row],[Article code]],MArticle[],2,FALSE)</f>
        <v>Unisex tank top white</v>
      </c>
      <c r="L19" s="32" t="str">
        <f>VLOOKUP(TableTemp[[#This Row],[Company ID]],MCompany[],3,FALSE)</f>
        <v>USD</v>
      </c>
      <c r="M19" s="32">
        <f>IF(TableTemp[[#This Row],[Currency]]="EUR",ROUND(VLOOKUP(MONTH(TableTemp[[#This Row],[Document Date]]),MExchange[],2,FALSE)*TableTemp[[#This Row],[Sales Local Currency]],2),ROUND(TableTemp[[#This Row],[Sales Local Currency]],2))</f>
        <v>360</v>
      </c>
      <c r="Z19" s="11" t="s">
        <v>7</v>
      </c>
      <c r="AA19" s="14">
        <v>1320</v>
      </c>
      <c r="AB19" s="33">
        <v>110</v>
      </c>
      <c r="AD19" s="11" t="s">
        <v>7</v>
      </c>
      <c r="AE19" s="33"/>
      <c r="AF19" s="16">
        <v>0</v>
      </c>
      <c r="AL19" s="18" t="s">
        <v>21</v>
      </c>
      <c r="AM19" s="14">
        <v>1260</v>
      </c>
      <c r="AN19" s="33">
        <v>70</v>
      </c>
    </row>
    <row r="20" spans="1:40" x14ac:dyDescent="0.2">
      <c r="A20" t="s">
        <v>29</v>
      </c>
      <c r="B20">
        <v>25442</v>
      </c>
      <c r="C20" s="9">
        <v>43389</v>
      </c>
      <c r="D20">
        <v>8010</v>
      </c>
      <c r="E20">
        <v>106</v>
      </c>
      <c r="G20">
        <v>20</v>
      </c>
      <c r="H20">
        <v>100</v>
      </c>
      <c r="I20" s="32" t="str">
        <f>VLOOKUP(TableTemp[[#This Row],[Company ID]],MCompany[],2,FALSE)</f>
        <v>Meta Creations</v>
      </c>
      <c r="J20" s="32" t="str">
        <f>VLOOKUP(TableTemp[[#This Row],[Customer code]],MCustomer[],2,FALSE)</f>
        <v>Dellicia</v>
      </c>
      <c r="K20" s="32" t="str">
        <f>VLOOKUP(TableTemp[[#This Row],[Article code]],MArticle[],2,FALSE)</f>
        <v>Men basics</v>
      </c>
      <c r="L20" s="32" t="str">
        <f>VLOOKUP(TableTemp[[#This Row],[Company ID]],MCompany[],3,FALSE)</f>
        <v>USD</v>
      </c>
      <c r="M20" s="32">
        <f>IF(TableTemp[[#This Row],[Currency]]="EUR",ROUND(VLOOKUP(MONTH(TableTemp[[#This Row],[Document Date]]),MExchange[],2,FALSE)*TableTemp[[#This Row],[Sales Local Currency]],2),ROUND(TableTemp[[#This Row],[Sales Local Currency]],2))</f>
        <v>100</v>
      </c>
      <c r="Z20" s="11" t="s">
        <v>5</v>
      </c>
      <c r="AA20" s="14">
        <v>750</v>
      </c>
      <c r="AB20" s="33">
        <v>150</v>
      </c>
      <c r="AD20" s="11" t="s">
        <v>5</v>
      </c>
      <c r="AE20" s="33">
        <v>0</v>
      </c>
      <c r="AF20" s="16">
        <v>0</v>
      </c>
      <c r="AL20" s="17" t="s">
        <v>45</v>
      </c>
      <c r="AM20" s="14">
        <v>5020</v>
      </c>
      <c r="AN20" s="33">
        <v>350</v>
      </c>
    </row>
    <row r="21" spans="1:40" x14ac:dyDescent="0.2">
      <c r="A21" t="s">
        <v>29</v>
      </c>
      <c r="B21">
        <v>25442</v>
      </c>
      <c r="C21" s="9">
        <v>43389</v>
      </c>
      <c r="D21">
        <v>8010</v>
      </c>
      <c r="E21">
        <v>101</v>
      </c>
      <c r="G21">
        <v>40</v>
      </c>
      <c r="H21">
        <v>480</v>
      </c>
      <c r="I21" s="32" t="str">
        <f>VLOOKUP(TableTemp[[#This Row],[Company ID]],MCompany[],2,FALSE)</f>
        <v>Meta Creations</v>
      </c>
      <c r="J21" s="32" t="str">
        <f>VLOOKUP(TableTemp[[#This Row],[Customer code]],MCustomer[],2,FALSE)</f>
        <v>Dellicia</v>
      </c>
      <c r="K21" s="32" t="str">
        <f>VLOOKUP(TableTemp[[#This Row],[Article code]],MArticle[],2,FALSE)</f>
        <v>Men type T simple white</v>
      </c>
      <c r="L21" s="32" t="str">
        <f>VLOOKUP(TableTemp[[#This Row],[Company ID]],MCompany[],3,FALSE)</f>
        <v>USD</v>
      </c>
      <c r="M21" s="32">
        <f>IF(TableTemp[[#This Row],[Currency]]="EUR",ROUND(VLOOKUP(MONTH(TableTemp[[#This Row],[Document Date]]),MExchange[],2,FALSE)*TableTemp[[#This Row],[Sales Local Currency]],2),ROUND(TableTemp[[#This Row],[Sales Local Currency]],2))</f>
        <v>480</v>
      </c>
      <c r="Z21" s="11" t="s">
        <v>16</v>
      </c>
      <c r="AA21" s="14">
        <v>2500</v>
      </c>
      <c r="AB21" s="33">
        <v>100</v>
      </c>
      <c r="AD21" s="11" t="s">
        <v>16</v>
      </c>
      <c r="AE21" s="33">
        <v>0</v>
      </c>
      <c r="AF21" s="16">
        <v>0</v>
      </c>
      <c r="AL21" s="18" t="s">
        <v>19</v>
      </c>
      <c r="AM21" s="14">
        <v>360</v>
      </c>
      <c r="AN21" s="33">
        <v>60</v>
      </c>
    </row>
    <row r="22" spans="1:40" x14ac:dyDescent="0.2">
      <c r="A22" t="s">
        <v>29</v>
      </c>
      <c r="B22">
        <v>25442</v>
      </c>
      <c r="C22" s="9">
        <v>43389</v>
      </c>
      <c r="D22">
        <v>8010</v>
      </c>
      <c r="E22">
        <v>102</v>
      </c>
      <c r="G22">
        <v>10</v>
      </c>
      <c r="H22">
        <v>120</v>
      </c>
      <c r="I22" s="32" t="str">
        <f>VLOOKUP(TableTemp[[#This Row],[Company ID]],MCompany[],2,FALSE)</f>
        <v>Meta Creations</v>
      </c>
      <c r="J22" s="32" t="str">
        <f>VLOOKUP(TableTemp[[#This Row],[Customer code]],MCustomer[],2,FALSE)</f>
        <v>Dellicia</v>
      </c>
      <c r="K22" s="32" t="str">
        <f>VLOOKUP(TableTemp[[#This Row],[Article code]],MArticle[],2,FALSE)</f>
        <v>Men type T simple black</v>
      </c>
      <c r="L22" s="32" t="str">
        <f>VLOOKUP(TableTemp[[#This Row],[Company ID]],MCompany[],3,FALSE)</f>
        <v>USD</v>
      </c>
      <c r="M22" s="32">
        <f>IF(TableTemp[[#This Row],[Currency]]="EUR",ROUND(VLOOKUP(MONTH(TableTemp[[#This Row],[Document Date]]),MExchange[],2,FALSE)*TableTemp[[#This Row],[Sales Local Currency]],2),ROUND(TableTemp[[#This Row],[Sales Local Currency]],2))</f>
        <v>120</v>
      </c>
      <c r="Z22" s="11" t="s">
        <v>17</v>
      </c>
      <c r="AA22" s="14">
        <v>1250</v>
      </c>
      <c r="AB22" s="33">
        <v>50</v>
      </c>
      <c r="AD22" s="11" t="s">
        <v>17</v>
      </c>
      <c r="AE22" s="33">
        <v>1</v>
      </c>
      <c r="AF22" s="16">
        <v>0.02</v>
      </c>
      <c r="AL22" s="18" t="s">
        <v>6</v>
      </c>
      <c r="AM22" s="14">
        <v>480</v>
      </c>
      <c r="AN22" s="33">
        <v>40</v>
      </c>
    </row>
    <row r="23" spans="1:40" x14ac:dyDescent="0.2">
      <c r="A23" t="s">
        <v>28</v>
      </c>
      <c r="B23">
        <v>66030</v>
      </c>
      <c r="C23" s="9">
        <v>43377</v>
      </c>
      <c r="D23">
        <v>8010</v>
      </c>
      <c r="E23">
        <v>103</v>
      </c>
      <c r="F23" t="s">
        <v>62</v>
      </c>
      <c r="G23">
        <v>120</v>
      </c>
      <c r="H23">
        <v>1440</v>
      </c>
      <c r="I23" s="32" t="str">
        <f>VLOOKUP(TableTemp[[#This Row],[Company ID]],MCompany[],2,FALSE)</f>
        <v>Urban Right</v>
      </c>
      <c r="J23" s="32" t="str">
        <f>VLOOKUP(TableTemp[[#This Row],[Customer code]],MCustomer[],2,FALSE)</f>
        <v>Dellicia</v>
      </c>
      <c r="K23" s="32" t="str">
        <f>VLOOKUP(TableTemp[[#This Row],[Article code]],MArticle[],2,FALSE)</f>
        <v>Women type T simple white</v>
      </c>
      <c r="L23" s="32" t="str">
        <f>VLOOKUP(TableTemp[[#This Row],[Company ID]],MCompany[],3,FALSE)</f>
        <v>USD</v>
      </c>
      <c r="M23" s="32">
        <f>IF(TableTemp[[#This Row],[Currency]]="EUR",ROUND(VLOOKUP(MONTH(TableTemp[[#This Row],[Document Date]]),MExchange[],2,FALSE)*TableTemp[[#This Row],[Sales Local Currency]],2),ROUND(TableTemp[[#This Row],[Sales Local Currency]],2))</f>
        <v>1440</v>
      </c>
      <c r="Z23" s="11" t="s">
        <v>20</v>
      </c>
      <c r="AA23" s="14">
        <v>2880</v>
      </c>
      <c r="AB23" s="33">
        <v>160</v>
      </c>
      <c r="AD23" s="11" t="s">
        <v>20</v>
      </c>
      <c r="AE23" s="33">
        <v>6</v>
      </c>
      <c r="AF23" s="16">
        <v>3.7499999999999999E-2</v>
      </c>
      <c r="AL23" s="18" t="s">
        <v>7</v>
      </c>
      <c r="AM23" s="14">
        <v>120</v>
      </c>
      <c r="AN23" s="33">
        <v>10</v>
      </c>
    </row>
    <row r="24" spans="1:40" x14ac:dyDescent="0.2">
      <c r="A24" t="s">
        <v>28</v>
      </c>
      <c r="B24">
        <v>66030</v>
      </c>
      <c r="C24" s="9">
        <v>43377</v>
      </c>
      <c r="D24">
        <v>8010</v>
      </c>
      <c r="E24">
        <v>104</v>
      </c>
      <c r="G24">
        <v>150</v>
      </c>
      <c r="H24">
        <v>1800</v>
      </c>
      <c r="I24" s="32" t="str">
        <f>VLOOKUP(TableTemp[[#This Row],[Company ID]],MCompany[],2,FALSE)</f>
        <v>Urban Right</v>
      </c>
      <c r="J24" s="32" t="str">
        <f>VLOOKUP(TableTemp[[#This Row],[Customer code]],MCustomer[],2,FALSE)</f>
        <v>Dellicia</v>
      </c>
      <c r="K24" s="32" t="str">
        <f>VLOOKUP(TableTemp[[#This Row],[Article code]],MArticle[],2,FALSE)</f>
        <v>Women type T simple black</v>
      </c>
      <c r="L24" s="32" t="str">
        <f>VLOOKUP(TableTemp[[#This Row],[Company ID]],MCompany[],3,FALSE)</f>
        <v>USD</v>
      </c>
      <c r="M24" s="32">
        <f>IF(TableTemp[[#This Row],[Currency]]="EUR",ROUND(VLOOKUP(MONTH(TableTemp[[#This Row],[Document Date]]),MExchange[],2,FALSE)*TableTemp[[#This Row],[Sales Local Currency]],2),ROUND(TableTemp[[#This Row],[Sales Local Currency]],2))</f>
        <v>1800</v>
      </c>
      <c r="Z24" s="11" t="s">
        <v>21</v>
      </c>
      <c r="AA24" s="14">
        <v>3780</v>
      </c>
      <c r="AB24" s="33">
        <v>210</v>
      </c>
      <c r="AD24" s="11" t="s">
        <v>21</v>
      </c>
      <c r="AE24" s="33"/>
      <c r="AF24" s="16">
        <v>0</v>
      </c>
      <c r="AL24" s="18" t="s">
        <v>5</v>
      </c>
      <c r="AM24" s="14">
        <v>100</v>
      </c>
      <c r="AN24" s="33">
        <v>20</v>
      </c>
    </row>
    <row r="25" spans="1:40" x14ac:dyDescent="0.2">
      <c r="A25" t="s">
        <v>28</v>
      </c>
      <c r="B25">
        <v>66032</v>
      </c>
      <c r="C25" s="9">
        <v>43380</v>
      </c>
      <c r="D25">
        <v>8010</v>
      </c>
      <c r="E25">
        <v>103</v>
      </c>
      <c r="G25">
        <v>170</v>
      </c>
      <c r="H25">
        <v>2040</v>
      </c>
      <c r="I25" s="32" t="str">
        <f>VLOOKUP(TableTemp[[#This Row],[Company ID]],MCompany[],2,FALSE)</f>
        <v>Urban Right</v>
      </c>
      <c r="J25" s="32" t="str">
        <f>VLOOKUP(TableTemp[[#This Row],[Customer code]],MCustomer[],2,FALSE)</f>
        <v>Dellicia</v>
      </c>
      <c r="K25" s="32" t="str">
        <f>VLOOKUP(TableTemp[[#This Row],[Article code]],MArticle[],2,FALSE)</f>
        <v>Women type T simple white</v>
      </c>
      <c r="L25" s="32" t="str">
        <f>VLOOKUP(TableTemp[[#This Row],[Company ID]],MCompany[],3,FALSE)</f>
        <v>USD</v>
      </c>
      <c r="M25" s="32">
        <f>IF(TableTemp[[#This Row],[Currency]]="EUR",ROUND(VLOOKUP(MONTH(TableTemp[[#This Row],[Document Date]]),MExchange[],2,FALSE)*TableTemp[[#This Row],[Sales Local Currency]],2),ROUND(TableTemp[[#This Row],[Sales Local Currency]],2))</f>
        <v>2040</v>
      </c>
      <c r="Z25" s="11" t="s">
        <v>66</v>
      </c>
      <c r="AA25" s="14">
        <v>85740</v>
      </c>
      <c r="AB25" s="33">
        <v>7380</v>
      </c>
      <c r="AD25" s="11" t="s">
        <v>66</v>
      </c>
      <c r="AE25" s="33">
        <v>21</v>
      </c>
      <c r="AF25" s="16">
        <v>2.8455284552845531E-3</v>
      </c>
      <c r="AL25" s="18" t="s">
        <v>20</v>
      </c>
      <c r="AM25" s="14">
        <v>1440</v>
      </c>
      <c r="AN25" s="33">
        <v>80</v>
      </c>
    </row>
    <row r="26" spans="1:40" x14ac:dyDescent="0.2">
      <c r="A26" t="s">
        <v>28</v>
      </c>
      <c r="B26">
        <v>66032</v>
      </c>
      <c r="C26" s="9">
        <v>43380</v>
      </c>
      <c r="D26">
        <v>8010</v>
      </c>
      <c r="E26">
        <v>104</v>
      </c>
      <c r="G26">
        <v>140</v>
      </c>
      <c r="H26">
        <v>1680</v>
      </c>
      <c r="I26" s="32" t="str">
        <f>VLOOKUP(TableTemp[[#This Row],[Company ID]],MCompany[],2,FALSE)</f>
        <v>Urban Right</v>
      </c>
      <c r="J26" s="32" t="str">
        <f>VLOOKUP(TableTemp[[#This Row],[Customer code]],MCustomer[],2,FALSE)</f>
        <v>Dellicia</v>
      </c>
      <c r="K26" s="32" t="str">
        <f>VLOOKUP(TableTemp[[#This Row],[Article code]],MArticle[],2,FALSE)</f>
        <v>Women type T simple black</v>
      </c>
      <c r="L26" s="32" t="str">
        <f>VLOOKUP(TableTemp[[#This Row],[Company ID]],MCompany[],3,FALSE)</f>
        <v>USD</v>
      </c>
      <c r="M26" s="32">
        <f>IF(TableTemp[[#This Row],[Currency]]="EUR",ROUND(VLOOKUP(MONTH(TableTemp[[#This Row],[Document Date]]),MExchange[],2,FALSE)*TableTemp[[#This Row],[Sales Local Currency]],2),ROUND(TableTemp[[#This Row],[Sales Local Currency]],2))</f>
        <v>1680</v>
      </c>
      <c r="AL26" s="18" t="s">
        <v>21</v>
      </c>
      <c r="AM26" s="14">
        <v>2520</v>
      </c>
      <c r="AN26" s="33">
        <v>140</v>
      </c>
    </row>
    <row r="27" spans="1:40" x14ac:dyDescent="0.2">
      <c r="A27" t="s">
        <v>28</v>
      </c>
      <c r="B27">
        <v>66031</v>
      </c>
      <c r="C27" s="9">
        <v>43381</v>
      </c>
      <c r="D27">
        <v>8020</v>
      </c>
      <c r="E27">
        <v>103</v>
      </c>
      <c r="F27">
        <v>1</v>
      </c>
      <c r="G27">
        <v>140</v>
      </c>
      <c r="H27">
        <v>1680</v>
      </c>
      <c r="I27" s="32" t="str">
        <f>VLOOKUP(TableTemp[[#This Row],[Company ID]],MCompany[],2,FALSE)</f>
        <v>Urban Right</v>
      </c>
      <c r="J27" s="32" t="str">
        <f>VLOOKUP(TableTemp[[#This Row],[Customer code]],MCustomer[],2,FALSE)</f>
        <v>Erma</v>
      </c>
      <c r="K27" s="32" t="str">
        <f>VLOOKUP(TableTemp[[#This Row],[Article code]],MArticle[],2,FALSE)</f>
        <v>Women type T simple white</v>
      </c>
      <c r="L27" s="32" t="str">
        <f>VLOOKUP(TableTemp[[#This Row],[Company ID]],MCompany[],3,FALSE)</f>
        <v>USD</v>
      </c>
      <c r="M27" s="32">
        <f>IF(TableTemp[[#This Row],[Currency]]="EUR",ROUND(VLOOKUP(MONTH(TableTemp[[#This Row],[Document Date]]),MExchange[],2,FALSE)*TableTemp[[#This Row],[Sales Local Currency]],2),ROUND(TableTemp[[#This Row],[Sales Local Currency]],2))</f>
        <v>1680</v>
      </c>
      <c r="AL27" s="11" t="s">
        <v>32</v>
      </c>
      <c r="AM27" s="14">
        <v>66100</v>
      </c>
      <c r="AN27" s="33">
        <v>6120</v>
      </c>
    </row>
    <row r="28" spans="1:40" x14ac:dyDescent="0.2">
      <c r="A28" t="s">
        <v>28</v>
      </c>
      <c r="B28">
        <v>66031</v>
      </c>
      <c r="C28" s="9">
        <v>43381</v>
      </c>
      <c r="D28">
        <v>8020</v>
      </c>
      <c r="E28">
        <v>104</v>
      </c>
      <c r="G28">
        <v>150</v>
      </c>
      <c r="H28">
        <v>1800</v>
      </c>
      <c r="I28" s="32" t="str">
        <f>VLOOKUP(TableTemp[[#This Row],[Company ID]],MCompany[],2,FALSE)</f>
        <v>Urban Right</v>
      </c>
      <c r="J28" s="32" t="str">
        <f>VLOOKUP(TableTemp[[#This Row],[Customer code]],MCustomer[],2,FALSE)</f>
        <v>Erma</v>
      </c>
      <c r="K28" s="32" t="str">
        <f>VLOOKUP(TableTemp[[#This Row],[Article code]],MArticle[],2,FALSE)</f>
        <v>Women type T simple black</v>
      </c>
      <c r="L28" s="32" t="str">
        <f>VLOOKUP(TableTemp[[#This Row],[Company ID]],MCompany[],3,FALSE)</f>
        <v>USD</v>
      </c>
      <c r="M28" s="32">
        <f>IF(TableTemp[[#This Row],[Currency]]="EUR",ROUND(VLOOKUP(MONTH(TableTemp[[#This Row],[Document Date]]),MExchange[],2,FALSE)*TableTemp[[#This Row],[Sales Local Currency]],2),ROUND(TableTemp[[#This Row],[Sales Local Currency]],2))</f>
        <v>1800</v>
      </c>
      <c r="AL28" s="17" t="s">
        <v>47</v>
      </c>
      <c r="AM28" s="14">
        <v>28620</v>
      </c>
      <c r="AN28" s="33">
        <v>2850</v>
      </c>
    </row>
    <row r="29" spans="1:40" x14ac:dyDescent="0.2">
      <c r="A29" t="s">
        <v>28</v>
      </c>
      <c r="B29">
        <v>66031</v>
      </c>
      <c r="C29" s="9">
        <v>43381</v>
      </c>
      <c r="D29">
        <v>8020</v>
      </c>
      <c r="E29">
        <v>105</v>
      </c>
      <c r="G29">
        <v>100</v>
      </c>
      <c r="H29">
        <v>1000</v>
      </c>
      <c r="I29" s="32" t="str">
        <f>VLOOKUP(TableTemp[[#This Row],[Company ID]],MCompany[],2,FALSE)</f>
        <v>Urban Right</v>
      </c>
      <c r="J29" s="32" t="str">
        <f>VLOOKUP(TableTemp[[#This Row],[Customer code]],MCustomer[],2,FALSE)</f>
        <v>Erma</v>
      </c>
      <c r="K29" s="32" t="str">
        <f>VLOOKUP(TableTemp[[#This Row],[Article code]],MArticle[],2,FALSE)</f>
        <v>Women crop top black</v>
      </c>
      <c r="L29" s="32" t="str">
        <f>VLOOKUP(TableTemp[[#This Row],[Company ID]],MCompany[],3,FALSE)</f>
        <v>USD</v>
      </c>
      <c r="M29" s="32">
        <f>IF(TableTemp[[#This Row],[Currency]]="EUR",ROUND(VLOOKUP(MONTH(TableTemp[[#This Row],[Document Date]]),MExchange[],2,FALSE)*TableTemp[[#This Row],[Sales Local Currency]],2),ROUND(TableTemp[[#This Row],[Sales Local Currency]],2))</f>
        <v>1000</v>
      </c>
      <c r="AL29" s="18" t="s">
        <v>10</v>
      </c>
      <c r="AM29" s="14">
        <v>3200</v>
      </c>
      <c r="AN29" s="33">
        <v>640</v>
      </c>
    </row>
    <row r="30" spans="1:40" x14ac:dyDescent="0.2">
      <c r="A30" t="s">
        <v>28</v>
      </c>
      <c r="B30">
        <v>68112</v>
      </c>
      <c r="C30" s="9">
        <v>43384</v>
      </c>
      <c r="D30">
        <v>8010</v>
      </c>
      <c r="E30">
        <v>104</v>
      </c>
      <c r="F30">
        <v>4</v>
      </c>
      <c r="G30">
        <v>180</v>
      </c>
      <c r="H30">
        <v>2160</v>
      </c>
      <c r="I30" s="32" t="str">
        <f>VLOOKUP(TableTemp[[#This Row],[Company ID]],MCompany[],2,FALSE)</f>
        <v>Urban Right</v>
      </c>
      <c r="J30" s="32" t="str">
        <f>VLOOKUP(TableTemp[[#This Row],[Customer code]],MCustomer[],2,FALSE)</f>
        <v>Dellicia</v>
      </c>
      <c r="K30" s="32" t="str">
        <f>VLOOKUP(TableTemp[[#This Row],[Article code]],MArticle[],2,FALSE)</f>
        <v>Women type T simple black</v>
      </c>
      <c r="L30" s="32" t="str">
        <f>VLOOKUP(TableTemp[[#This Row],[Company ID]],MCompany[],3,FALSE)</f>
        <v>USD</v>
      </c>
      <c r="M30" s="32">
        <f>IF(TableTemp[[#This Row],[Currency]]="EUR",ROUND(VLOOKUP(MONTH(TableTemp[[#This Row],[Document Date]]),MExchange[],2,FALSE)*TableTemp[[#This Row],[Sales Local Currency]],2),ROUND(TableTemp[[#This Row],[Sales Local Currency]],2))</f>
        <v>2160</v>
      </c>
      <c r="AL30" s="18" t="s">
        <v>4</v>
      </c>
      <c r="AM30" s="14">
        <v>5500</v>
      </c>
      <c r="AN30" s="33">
        <v>550</v>
      </c>
    </row>
    <row r="31" spans="1:40" x14ac:dyDescent="0.2">
      <c r="A31" t="s">
        <v>28</v>
      </c>
      <c r="B31">
        <v>68112</v>
      </c>
      <c r="C31" s="9">
        <v>43384</v>
      </c>
      <c r="D31">
        <v>8010</v>
      </c>
      <c r="E31">
        <v>105</v>
      </c>
      <c r="G31">
        <v>120</v>
      </c>
      <c r="H31">
        <v>1200</v>
      </c>
      <c r="I31" s="32" t="str">
        <f>VLOOKUP(TableTemp[[#This Row],[Company ID]],MCompany[],2,FALSE)</f>
        <v>Urban Right</v>
      </c>
      <c r="J31" s="32" t="str">
        <f>VLOOKUP(TableTemp[[#This Row],[Customer code]],MCustomer[],2,FALSE)</f>
        <v>Dellicia</v>
      </c>
      <c r="K31" s="32" t="str">
        <f>VLOOKUP(TableTemp[[#This Row],[Article code]],MArticle[],2,FALSE)</f>
        <v>Women crop top black</v>
      </c>
      <c r="L31" s="32" t="str">
        <f>VLOOKUP(TableTemp[[#This Row],[Company ID]],MCompany[],3,FALSE)</f>
        <v>USD</v>
      </c>
      <c r="M31" s="32">
        <f>IF(TableTemp[[#This Row],[Currency]]="EUR",ROUND(VLOOKUP(MONTH(TableTemp[[#This Row],[Document Date]]),MExchange[],2,FALSE)*TableTemp[[#This Row],[Sales Local Currency]],2),ROUND(TableTemp[[#This Row],[Sales Local Currency]],2))</f>
        <v>1200</v>
      </c>
      <c r="AL31" s="18" t="s">
        <v>9</v>
      </c>
      <c r="AM31" s="14">
        <v>9840</v>
      </c>
      <c r="AN31" s="33">
        <v>820</v>
      </c>
    </row>
    <row r="32" spans="1:40" x14ac:dyDescent="0.2">
      <c r="A32" t="s">
        <v>28</v>
      </c>
      <c r="B32">
        <v>68116</v>
      </c>
      <c r="C32" s="9">
        <v>43384</v>
      </c>
      <c r="D32">
        <v>8020</v>
      </c>
      <c r="E32">
        <v>104</v>
      </c>
      <c r="G32">
        <v>150</v>
      </c>
      <c r="H32">
        <v>1800</v>
      </c>
      <c r="I32" s="32" t="str">
        <f>VLOOKUP(TableTemp[[#This Row],[Company ID]],MCompany[],2,FALSE)</f>
        <v>Urban Right</v>
      </c>
      <c r="J32" s="32" t="str">
        <f>VLOOKUP(TableTemp[[#This Row],[Customer code]],MCustomer[],2,FALSE)</f>
        <v>Erma</v>
      </c>
      <c r="K32" s="32" t="str">
        <f>VLOOKUP(TableTemp[[#This Row],[Article code]],MArticle[],2,FALSE)</f>
        <v>Women type T simple black</v>
      </c>
      <c r="L32" s="32" t="str">
        <f>VLOOKUP(TableTemp[[#This Row],[Company ID]],MCompany[],3,FALSE)</f>
        <v>USD</v>
      </c>
      <c r="M32" s="32">
        <f>IF(TableTemp[[#This Row],[Currency]]="EUR",ROUND(VLOOKUP(MONTH(TableTemp[[#This Row],[Document Date]]),MExchange[],2,FALSE)*TableTemp[[#This Row],[Sales Local Currency]],2),ROUND(TableTemp[[#This Row],[Sales Local Currency]],2))</f>
        <v>1800</v>
      </c>
      <c r="AL32" s="18" t="s">
        <v>8</v>
      </c>
      <c r="AM32" s="14">
        <v>10080</v>
      </c>
      <c r="AN32" s="33">
        <v>840</v>
      </c>
    </row>
    <row r="33" spans="1:40" x14ac:dyDescent="0.2">
      <c r="A33" t="s">
        <v>28</v>
      </c>
      <c r="B33">
        <v>68116</v>
      </c>
      <c r="C33" s="9">
        <v>43384</v>
      </c>
      <c r="D33">
        <v>8020</v>
      </c>
      <c r="E33">
        <v>105</v>
      </c>
      <c r="G33">
        <v>190</v>
      </c>
      <c r="H33">
        <v>1900</v>
      </c>
      <c r="I33" s="32" t="str">
        <f>VLOOKUP(TableTemp[[#This Row],[Company ID]],MCompany[],2,FALSE)</f>
        <v>Urban Right</v>
      </c>
      <c r="J33" s="32" t="str">
        <f>VLOOKUP(TableTemp[[#This Row],[Customer code]],MCustomer[],2,FALSE)</f>
        <v>Erma</v>
      </c>
      <c r="K33" s="32" t="str">
        <f>VLOOKUP(TableTemp[[#This Row],[Article code]],MArticle[],2,FALSE)</f>
        <v>Women crop top black</v>
      </c>
      <c r="L33" s="32" t="str">
        <f>VLOOKUP(TableTemp[[#This Row],[Company ID]],MCompany[],3,FALSE)</f>
        <v>USD</v>
      </c>
      <c r="M33" s="32">
        <f>IF(TableTemp[[#This Row],[Currency]]="EUR",ROUND(VLOOKUP(MONTH(TableTemp[[#This Row],[Document Date]]),MExchange[],2,FALSE)*TableTemp[[#This Row],[Sales Local Currency]],2),ROUND(TableTemp[[#This Row],[Sales Local Currency]],2))</f>
        <v>1900</v>
      </c>
      <c r="AL33" s="17" t="s">
        <v>45</v>
      </c>
      <c r="AM33" s="14">
        <v>37480</v>
      </c>
      <c r="AN33" s="33">
        <v>3270</v>
      </c>
    </row>
    <row r="34" spans="1:40" x14ac:dyDescent="0.2">
      <c r="A34" t="s">
        <v>28</v>
      </c>
      <c r="B34">
        <v>68116</v>
      </c>
      <c r="C34" s="9">
        <v>43384</v>
      </c>
      <c r="D34">
        <v>8020</v>
      </c>
      <c r="E34">
        <v>107</v>
      </c>
      <c r="F34">
        <v>2</v>
      </c>
      <c r="G34">
        <v>160</v>
      </c>
      <c r="H34">
        <v>800</v>
      </c>
      <c r="I34" s="32" t="str">
        <f>VLOOKUP(TableTemp[[#This Row],[Company ID]],MCompany[],2,FALSE)</f>
        <v>Urban Right</v>
      </c>
      <c r="J34" s="32" t="str">
        <f>VLOOKUP(TableTemp[[#This Row],[Customer code]],MCustomer[],2,FALSE)</f>
        <v>Erma</v>
      </c>
      <c r="K34" s="32" t="str">
        <f>VLOOKUP(TableTemp[[#This Row],[Article code]],MArticle[],2,FALSE)</f>
        <v>Women basics</v>
      </c>
      <c r="L34" s="32" t="str">
        <f>VLOOKUP(TableTemp[[#This Row],[Company ID]],MCompany[],3,FALSE)</f>
        <v>USD</v>
      </c>
      <c r="M34" s="32">
        <f>IF(TableTemp[[#This Row],[Currency]]="EUR",ROUND(VLOOKUP(MONTH(TableTemp[[#This Row],[Document Date]]),MExchange[],2,FALSE)*TableTemp[[#This Row],[Sales Local Currency]],2),ROUND(TableTemp[[#This Row],[Sales Local Currency]],2))</f>
        <v>800</v>
      </c>
      <c r="AL34" s="18" t="s">
        <v>4</v>
      </c>
      <c r="AM34" s="14">
        <v>8800</v>
      </c>
      <c r="AN34" s="33">
        <v>880</v>
      </c>
    </row>
    <row r="35" spans="1:40" x14ac:dyDescent="0.2">
      <c r="A35" t="s">
        <v>28</v>
      </c>
      <c r="B35">
        <v>68116</v>
      </c>
      <c r="C35" s="9">
        <v>43384</v>
      </c>
      <c r="D35">
        <v>8010</v>
      </c>
      <c r="E35">
        <v>104</v>
      </c>
      <c r="G35">
        <v>160</v>
      </c>
      <c r="H35">
        <v>1920</v>
      </c>
      <c r="I35" s="32" t="str">
        <f>VLOOKUP(TableTemp[[#This Row],[Company ID]],MCompany[],2,FALSE)</f>
        <v>Urban Right</v>
      </c>
      <c r="J35" s="32" t="str">
        <f>VLOOKUP(TableTemp[[#This Row],[Customer code]],MCustomer[],2,FALSE)</f>
        <v>Dellicia</v>
      </c>
      <c r="K35" s="32" t="str">
        <f>VLOOKUP(TableTemp[[#This Row],[Article code]],MArticle[],2,FALSE)</f>
        <v>Women type T simple black</v>
      </c>
      <c r="L35" s="32" t="str">
        <f>VLOOKUP(TableTemp[[#This Row],[Company ID]],MCompany[],3,FALSE)</f>
        <v>USD</v>
      </c>
      <c r="M35" s="32">
        <f>IF(TableTemp[[#This Row],[Currency]]="EUR",ROUND(VLOOKUP(MONTH(TableTemp[[#This Row],[Document Date]]),MExchange[],2,FALSE)*TableTemp[[#This Row],[Sales Local Currency]],2),ROUND(TableTemp[[#This Row],[Sales Local Currency]],2))</f>
        <v>1920</v>
      </c>
      <c r="AL35" s="18" t="s">
        <v>9</v>
      </c>
      <c r="AM35" s="14">
        <v>18120</v>
      </c>
      <c r="AN35" s="33">
        <v>1510</v>
      </c>
    </row>
    <row r="36" spans="1:40" x14ac:dyDescent="0.2">
      <c r="A36" t="s">
        <v>28</v>
      </c>
      <c r="B36">
        <v>68116</v>
      </c>
      <c r="C36" s="9">
        <v>43384</v>
      </c>
      <c r="D36">
        <v>8010</v>
      </c>
      <c r="E36">
        <v>105</v>
      </c>
      <c r="G36">
        <v>190</v>
      </c>
      <c r="H36">
        <v>1900</v>
      </c>
      <c r="I36" s="32" t="str">
        <f>VLOOKUP(TableTemp[[#This Row],[Company ID]],MCompany[],2,FALSE)</f>
        <v>Urban Right</v>
      </c>
      <c r="J36" s="32" t="str">
        <f>VLOOKUP(TableTemp[[#This Row],[Customer code]],MCustomer[],2,FALSE)</f>
        <v>Dellicia</v>
      </c>
      <c r="K36" s="32" t="str">
        <f>VLOOKUP(TableTemp[[#This Row],[Article code]],MArticle[],2,FALSE)</f>
        <v>Women crop top black</v>
      </c>
      <c r="L36" s="32" t="str">
        <f>VLOOKUP(TableTemp[[#This Row],[Company ID]],MCompany[],3,FALSE)</f>
        <v>USD</v>
      </c>
      <c r="M36" s="32">
        <f>IF(TableTemp[[#This Row],[Currency]]="EUR",ROUND(VLOOKUP(MONTH(TableTemp[[#This Row],[Document Date]]),MExchange[],2,FALSE)*TableTemp[[#This Row],[Sales Local Currency]],2),ROUND(TableTemp[[#This Row],[Sales Local Currency]],2))</f>
        <v>1900</v>
      </c>
      <c r="AL36" s="18" t="s">
        <v>8</v>
      </c>
      <c r="AM36" s="14">
        <v>10560</v>
      </c>
      <c r="AN36" s="33">
        <v>880</v>
      </c>
    </row>
    <row r="37" spans="1:40" x14ac:dyDescent="0.2">
      <c r="A37" t="s">
        <v>28</v>
      </c>
      <c r="B37">
        <v>65662</v>
      </c>
      <c r="C37" s="9">
        <v>43388</v>
      </c>
      <c r="D37">
        <v>8020</v>
      </c>
      <c r="E37">
        <v>103</v>
      </c>
      <c r="G37">
        <v>120</v>
      </c>
      <c r="H37">
        <v>1440</v>
      </c>
      <c r="I37" s="32" t="str">
        <f>VLOOKUP(TableTemp[[#This Row],[Company ID]],MCompany[],2,FALSE)</f>
        <v>Urban Right</v>
      </c>
      <c r="J37" s="32" t="str">
        <f>VLOOKUP(TableTemp[[#This Row],[Customer code]],MCustomer[],2,FALSE)</f>
        <v>Erma</v>
      </c>
      <c r="K37" s="32" t="str">
        <f>VLOOKUP(TableTemp[[#This Row],[Article code]],MArticle[],2,FALSE)</f>
        <v>Women type T simple white</v>
      </c>
      <c r="L37" s="32" t="str">
        <f>VLOOKUP(TableTemp[[#This Row],[Company ID]],MCompany[],3,FALSE)</f>
        <v>USD</v>
      </c>
      <c r="M37" s="32">
        <f>IF(TableTemp[[#This Row],[Currency]]="EUR",ROUND(VLOOKUP(MONTH(TableTemp[[#This Row],[Document Date]]),MExchange[],2,FALSE)*TableTemp[[#This Row],[Sales Local Currency]],2),ROUND(TableTemp[[#This Row],[Sales Local Currency]],2))</f>
        <v>1440</v>
      </c>
      <c r="AL37" s="11" t="s">
        <v>66</v>
      </c>
      <c r="AM37" s="14">
        <v>85740</v>
      </c>
      <c r="AN37" s="33">
        <v>7380</v>
      </c>
    </row>
    <row r="38" spans="1:40" x14ac:dyDescent="0.2">
      <c r="A38" t="s">
        <v>28</v>
      </c>
      <c r="B38">
        <v>65662</v>
      </c>
      <c r="C38" s="9">
        <v>43388</v>
      </c>
      <c r="D38">
        <v>8020</v>
      </c>
      <c r="E38">
        <v>104</v>
      </c>
      <c r="G38">
        <v>110</v>
      </c>
      <c r="H38">
        <v>1320</v>
      </c>
      <c r="I38" s="32" t="str">
        <f>VLOOKUP(TableTemp[[#This Row],[Company ID]],MCompany[],2,FALSE)</f>
        <v>Urban Right</v>
      </c>
      <c r="J38" s="32" t="str">
        <f>VLOOKUP(TableTemp[[#This Row],[Customer code]],MCustomer[],2,FALSE)</f>
        <v>Erma</v>
      </c>
      <c r="K38" s="32" t="str">
        <f>VLOOKUP(TableTemp[[#This Row],[Article code]],MArticle[],2,FALSE)</f>
        <v>Women type T simple black</v>
      </c>
      <c r="L38" s="32" t="str">
        <f>VLOOKUP(TableTemp[[#This Row],[Company ID]],MCompany[],3,FALSE)</f>
        <v>USD</v>
      </c>
      <c r="M38" s="32">
        <f>IF(TableTemp[[#This Row],[Currency]]="EUR",ROUND(VLOOKUP(MONTH(TableTemp[[#This Row],[Document Date]]),MExchange[],2,FALSE)*TableTemp[[#This Row],[Sales Local Currency]],2),ROUND(TableTemp[[#This Row],[Sales Local Currency]],2))</f>
        <v>1320</v>
      </c>
    </row>
    <row r="39" spans="1:40" x14ac:dyDescent="0.2">
      <c r="A39" t="s">
        <v>28</v>
      </c>
      <c r="B39">
        <v>65666</v>
      </c>
      <c r="C39" s="9">
        <v>43388</v>
      </c>
      <c r="D39">
        <v>8010</v>
      </c>
      <c r="E39">
        <v>103</v>
      </c>
      <c r="G39">
        <v>120</v>
      </c>
      <c r="H39">
        <v>1440</v>
      </c>
      <c r="I39" s="32" t="str">
        <f>VLOOKUP(TableTemp[[#This Row],[Company ID]],MCompany[],2,FALSE)</f>
        <v>Urban Right</v>
      </c>
      <c r="J39" s="32" t="str">
        <f>VLOOKUP(TableTemp[[#This Row],[Customer code]],MCustomer[],2,FALSE)</f>
        <v>Dellicia</v>
      </c>
      <c r="K39" s="32" t="str">
        <f>VLOOKUP(TableTemp[[#This Row],[Article code]],MArticle[],2,FALSE)</f>
        <v>Women type T simple white</v>
      </c>
      <c r="L39" s="32" t="str">
        <f>VLOOKUP(TableTemp[[#This Row],[Company ID]],MCompany[],3,FALSE)</f>
        <v>USD</v>
      </c>
      <c r="M39" s="32">
        <f>IF(TableTemp[[#This Row],[Currency]]="EUR",ROUND(VLOOKUP(MONTH(TableTemp[[#This Row],[Document Date]]),MExchange[],2,FALSE)*TableTemp[[#This Row],[Sales Local Currency]],2),ROUND(TableTemp[[#This Row],[Sales Local Currency]],2))</f>
        <v>1440</v>
      </c>
    </row>
    <row r="40" spans="1:40" x14ac:dyDescent="0.2">
      <c r="A40" t="s">
        <v>28</v>
      </c>
      <c r="B40">
        <v>65666</v>
      </c>
      <c r="C40" s="9">
        <v>43388</v>
      </c>
      <c r="D40">
        <v>8010</v>
      </c>
      <c r="E40">
        <v>104</v>
      </c>
      <c r="G40">
        <v>140</v>
      </c>
      <c r="H40">
        <v>1680</v>
      </c>
      <c r="I40" s="32" t="str">
        <f>VLOOKUP(TableTemp[[#This Row],[Company ID]],MCompany[],2,FALSE)</f>
        <v>Urban Right</v>
      </c>
      <c r="J40" s="32" t="str">
        <f>VLOOKUP(TableTemp[[#This Row],[Customer code]],MCustomer[],2,FALSE)</f>
        <v>Dellicia</v>
      </c>
      <c r="K40" s="32" t="str">
        <f>VLOOKUP(TableTemp[[#This Row],[Article code]],MArticle[],2,FALSE)</f>
        <v>Women type T simple black</v>
      </c>
      <c r="L40" s="32" t="str">
        <f>VLOOKUP(TableTemp[[#This Row],[Company ID]],MCompany[],3,FALSE)</f>
        <v>USD</v>
      </c>
      <c r="M40" s="32">
        <f>IF(TableTemp[[#This Row],[Currency]]="EUR",ROUND(VLOOKUP(MONTH(TableTemp[[#This Row],[Document Date]]),MExchange[],2,FALSE)*TableTemp[[#This Row],[Sales Local Currency]],2),ROUND(TableTemp[[#This Row],[Sales Local Currency]],2))</f>
        <v>1680</v>
      </c>
    </row>
    <row r="41" spans="1:40" x14ac:dyDescent="0.2">
      <c r="A41" t="s">
        <v>28</v>
      </c>
      <c r="B41">
        <v>65666</v>
      </c>
      <c r="C41" s="9">
        <v>43388</v>
      </c>
      <c r="D41">
        <v>8010</v>
      </c>
      <c r="E41">
        <v>105</v>
      </c>
      <c r="G41">
        <v>160</v>
      </c>
      <c r="H41">
        <v>1600</v>
      </c>
      <c r="I41" s="32" t="str">
        <f>VLOOKUP(TableTemp[[#This Row],[Company ID]],MCompany[],2,FALSE)</f>
        <v>Urban Right</v>
      </c>
      <c r="J41" s="32" t="str">
        <f>VLOOKUP(TableTemp[[#This Row],[Customer code]],MCustomer[],2,FALSE)</f>
        <v>Dellicia</v>
      </c>
      <c r="K41" s="32" t="str">
        <f>VLOOKUP(TableTemp[[#This Row],[Article code]],MArticle[],2,FALSE)</f>
        <v>Women crop top black</v>
      </c>
      <c r="L41" s="32" t="str">
        <f>VLOOKUP(TableTemp[[#This Row],[Company ID]],MCompany[],3,FALSE)</f>
        <v>USD</v>
      </c>
      <c r="M41" s="32">
        <f>IF(TableTemp[[#This Row],[Currency]]="EUR",ROUND(VLOOKUP(MONTH(TableTemp[[#This Row],[Document Date]]),MExchange[],2,FALSE)*TableTemp[[#This Row],[Sales Local Currency]],2),ROUND(TableTemp[[#This Row],[Sales Local Currency]],2))</f>
        <v>1600</v>
      </c>
    </row>
    <row r="42" spans="1:40" x14ac:dyDescent="0.2">
      <c r="A42" t="s">
        <v>28</v>
      </c>
      <c r="B42">
        <v>65666</v>
      </c>
      <c r="C42" s="9">
        <v>43388</v>
      </c>
      <c r="D42">
        <v>8020</v>
      </c>
      <c r="E42">
        <v>107</v>
      </c>
      <c r="G42">
        <v>120</v>
      </c>
      <c r="H42">
        <v>600</v>
      </c>
      <c r="I42" s="32" t="str">
        <f>VLOOKUP(TableTemp[[#This Row],[Company ID]],MCompany[],2,FALSE)</f>
        <v>Urban Right</v>
      </c>
      <c r="J42" s="32" t="str">
        <f>VLOOKUP(TableTemp[[#This Row],[Customer code]],MCustomer[],2,FALSE)</f>
        <v>Erma</v>
      </c>
      <c r="K42" s="32" t="str">
        <f>VLOOKUP(TableTemp[[#This Row],[Article code]],MArticle[],2,FALSE)</f>
        <v>Women basics</v>
      </c>
      <c r="L42" s="32" t="str">
        <f>VLOOKUP(TableTemp[[#This Row],[Company ID]],MCompany[],3,FALSE)</f>
        <v>USD</v>
      </c>
      <c r="M42" s="32">
        <f>IF(TableTemp[[#This Row],[Currency]]="EUR",ROUND(VLOOKUP(MONTH(TableTemp[[#This Row],[Document Date]]),MExchange[],2,FALSE)*TableTemp[[#This Row],[Sales Local Currency]],2),ROUND(TableTemp[[#This Row],[Sales Local Currency]],2))</f>
        <v>600</v>
      </c>
    </row>
    <row r="43" spans="1:40" x14ac:dyDescent="0.2">
      <c r="A43" t="s">
        <v>28</v>
      </c>
      <c r="B43">
        <v>65666</v>
      </c>
      <c r="C43" s="9">
        <v>43388</v>
      </c>
      <c r="D43">
        <v>8020</v>
      </c>
      <c r="E43">
        <v>103</v>
      </c>
      <c r="G43">
        <v>200</v>
      </c>
      <c r="H43">
        <v>2400</v>
      </c>
      <c r="I43" s="32" t="str">
        <f>VLOOKUP(TableTemp[[#This Row],[Company ID]],MCompany[],2,FALSE)</f>
        <v>Urban Right</v>
      </c>
      <c r="J43" s="32" t="str">
        <f>VLOOKUP(TableTemp[[#This Row],[Customer code]],MCustomer[],2,FALSE)</f>
        <v>Erma</v>
      </c>
      <c r="K43" s="32" t="str">
        <f>VLOOKUP(TableTemp[[#This Row],[Article code]],MArticle[],2,FALSE)</f>
        <v>Women type T simple white</v>
      </c>
      <c r="L43" s="32" t="str">
        <f>VLOOKUP(TableTemp[[#This Row],[Company ID]],MCompany[],3,FALSE)</f>
        <v>USD</v>
      </c>
      <c r="M43" s="32">
        <f>IF(TableTemp[[#This Row],[Currency]]="EUR",ROUND(VLOOKUP(MONTH(TableTemp[[#This Row],[Document Date]]),MExchange[],2,FALSE)*TableTemp[[#This Row],[Sales Local Currency]],2),ROUND(TableTemp[[#This Row],[Sales Local Currency]],2))</f>
        <v>2400</v>
      </c>
    </row>
    <row r="44" spans="1:40" x14ac:dyDescent="0.2">
      <c r="A44" t="s">
        <v>28</v>
      </c>
      <c r="B44">
        <v>66015</v>
      </c>
      <c r="C44" s="9">
        <v>43383</v>
      </c>
      <c r="D44">
        <v>8010</v>
      </c>
      <c r="E44">
        <v>103</v>
      </c>
      <c r="G44">
        <v>140</v>
      </c>
      <c r="H44">
        <v>1680</v>
      </c>
      <c r="I44" s="32" t="str">
        <f>VLOOKUP(TableTemp[[#This Row],[Company ID]],MCompany[],2,FALSE)</f>
        <v>Urban Right</v>
      </c>
      <c r="J44" s="32" t="str">
        <f>VLOOKUP(TableTemp[[#This Row],[Customer code]],MCustomer[],2,FALSE)</f>
        <v>Dellicia</v>
      </c>
      <c r="K44" s="32" t="str">
        <f>VLOOKUP(TableTemp[[#This Row],[Article code]],MArticle[],2,FALSE)</f>
        <v>Women type T simple white</v>
      </c>
      <c r="L44" s="32" t="str">
        <f>VLOOKUP(TableTemp[[#This Row],[Company ID]],MCompany[],3,FALSE)</f>
        <v>USD</v>
      </c>
      <c r="M44" s="32">
        <f>IF(TableTemp[[#This Row],[Currency]]="EUR",ROUND(VLOOKUP(MONTH(TableTemp[[#This Row],[Document Date]]),MExchange[],2,FALSE)*TableTemp[[#This Row],[Sales Local Currency]],2),ROUND(TableTemp[[#This Row],[Sales Local Currency]],2))</f>
        <v>1680</v>
      </c>
    </row>
    <row r="45" spans="1:40" x14ac:dyDescent="0.2">
      <c r="A45" t="s">
        <v>28</v>
      </c>
      <c r="B45">
        <v>66015</v>
      </c>
      <c r="C45" s="9">
        <v>43383</v>
      </c>
      <c r="D45">
        <v>8010</v>
      </c>
      <c r="E45">
        <v>104</v>
      </c>
      <c r="G45">
        <v>140</v>
      </c>
      <c r="H45">
        <v>1680</v>
      </c>
      <c r="I45" s="32" t="str">
        <f>VLOOKUP(TableTemp[[#This Row],[Company ID]],MCompany[],2,FALSE)</f>
        <v>Urban Right</v>
      </c>
      <c r="J45" s="32" t="str">
        <f>VLOOKUP(TableTemp[[#This Row],[Customer code]],MCustomer[],2,FALSE)</f>
        <v>Dellicia</v>
      </c>
      <c r="K45" s="32" t="str">
        <f>VLOOKUP(TableTemp[[#This Row],[Article code]],MArticle[],2,FALSE)</f>
        <v>Women type T simple black</v>
      </c>
      <c r="L45" s="32" t="str">
        <f>VLOOKUP(TableTemp[[#This Row],[Company ID]],MCompany[],3,FALSE)</f>
        <v>USD</v>
      </c>
      <c r="M45" s="32">
        <f>IF(TableTemp[[#This Row],[Currency]]="EUR",ROUND(VLOOKUP(MONTH(TableTemp[[#This Row],[Document Date]]),MExchange[],2,FALSE)*TableTemp[[#This Row],[Sales Local Currency]],2),ROUND(TableTemp[[#This Row],[Sales Local Currency]],2))</f>
        <v>1680</v>
      </c>
    </row>
    <row r="46" spans="1:40" x14ac:dyDescent="0.2">
      <c r="A46" t="s">
        <v>28</v>
      </c>
      <c r="B46">
        <v>66017</v>
      </c>
      <c r="C46" s="9">
        <v>43386</v>
      </c>
      <c r="D46">
        <v>8010</v>
      </c>
      <c r="E46">
        <v>103</v>
      </c>
      <c r="G46">
        <v>140</v>
      </c>
      <c r="H46">
        <v>1680</v>
      </c>
      <c r="I46" s="32" t="str">
        <f>VLOOKUP(TableTemp[[#This Row],[Company ID]],MCompany[],2,FALSE)</f>
        <v>Urban Right</v>
      </c>
      <c r="J46" s="32" t="str">
        <f>VLOOKUP(TableTemp[[#This Row],[Customer code]],MCustomer[],2,FALSE)</f>
        <v>Dellicia</v>
      </c>
      <c r="K46" s="32" t="str">
        <f>VLOOKUP(TableTemp[[#This Row],[Article code]],MArticle[],2,FALSE)</f>
        <v>Women type T simple white</v>
      </c>
      <c r="L46" s="32" t="str">
        <f>VLOOKUP(TableTemp[[#This Row],[Company ID]],MCompany[],3,FALSE)</f>
        <v>USD</v>
      </c>
      <c r="M46" s="32">
        <f>IF(TableTemp[[#This Row],[Currency]]="EUR",ROUND(VLOOKUP(MONTH(TableTemp[[#This Row],[Document Date]]),MExchange[],2,FALSE)*TableTemp[[#This Row],[Sales Local Currency]],2),ROUND(TableTemp[[#This Row],[Sales Local Currency]],2))</f>
        <v>1680</v>
      </c>
    </row>
    <row r="47" spans="1:40" x14ac:dyDescent="0.2">
      <c r="A47" t="s">
        <v>28</v>
      </c>
      <c r="B47">
        <v>66017</v>
      </c>
      <c r="C47" s="9">
        <v>43386</v>
      </c>
      <c r="D47">
        <v>8010</v>
      </c>
      <c r="E47">
        <v>104</v>
      </c>
      <c r="G47">
        <v>140</v>
      </c>
      <c r="H47">
        <v>1680</v>
      </c>
      <c r="I47" s="32" t="str">
        <f>VLOOKUP(TableTemp[[#This Row],[Company ID]],MCompany[],2,FALSE)</f>
        <v>Urban Right</v>
      </c>
      <c r="J47" s="32" t="str">
        <f>VLOOKUP(TableTemp[[#This Row],[Customer code]],MCustomer[],2,FALSE)</f>
        <v>Dellicia</v>
      </c>
      <c r="K47" s="32" t="str">
        <f>VLOOKUP(TableTemp[[#This Row],[Article code]],MArticle[],2,FALSE)</f>
        <v>Women type T simple black</v>
      </c>
      <c r="L47" s="32" t="str">
        <f>VLOOKUP(TableTemp[[#This Row],[Company ID]],MCompany[],3,FALSE)</f>
        <v>USD</v>
      </c>
      <c r="M47" s="32">
        <f>IF(TableTemp[[#This Row],[Currency]]="EUR",ROUND(VLOOKUP(MONTH(TableTemp[[#This Row],[Document Date]]),MExchange[],2,FALSE)*TableTemp[[#This Row],[Sales Local Currency]],2),ROUND(TableTemp[[#This Row],[Sales Local Currency]],2))</f>
        <v>1680</v>
      </c>
    </row>
    <row r="48" spans="1:40" x14ac:dyDescent="0.2">
      <c r="A48" t="s">
        <v>28</v>
      </c>
      <c r="B48">
        <v>66016</v>
      </c>
      <c r="C48" s="9">
        <v>43387</v>
      </c>
      <c r="D48">
        <v>8020</v>
      </c>
      <c r="E48">
        <v>103</v>
      </c>
      <c r="G48">
        <v>120</v>
      </c>
      <c r="H48">
        <v>1440</v>
      </c>
      <c r="I48" s="32" t="str">
        <f>VLOOKUP(TableTemp[[#This Row],[Company ID]],MCompany[],2,FALSE)</f>
        <v>Urban Right</v>
      </c>
      <c r="J48" s="32" t="str">
        <f>VLOOKUP(TableTemp[[#This Row],[Customer code]],MCustomer[],2,FALSE)</f>
        <v>Erma</v>
      </c>
      <c r="K48" s="32" t="str">
        <f>VLOOKUP(TableTemp[[#This Row],[Article code]],MArticle[],2,FALSE)</f>
        <v>Women type T simple white</v>
      </c>
      <c r="L48" s="32" t="str">
        <f>VLOOKUP(TableTemp[[#This Row],[Company ID]],MCompany[],3,FALSE)</f>
        <v>USD</v>
      </c>
      <c r="M48" s="32">
        <f>IF(TableTemp[[#This Row],[Currency]]="EUR",ROUND(VLOOKUP(MONTH(TableTemp[[#This Row],[Document Date]]),MExchange[],2,FALSE)*TableTemp[[#This Row],[Sales Local Currency]],2),ROUND(TableTemp[[#This Row],[Sales Local Currency]],2))</f>
        <v>1440</v>
      </c>
    </row>
    <row r="49" spans="1:13" x14ac:dyDescent="0.2">
      <c r="A49" t="s">
        <v>28</v>
      </c>
      <c r="B49">
        <v>66016</v>
      </c>
      <c r="C49" s="9">
        <v>43387</v>
      </c>
      <c r="D49">
        <v>8020</v>
      </c>
      <c r="E49">
        <v>104</v>
      </c>
      <c r="G49">
        <v>130</v>
      </c>
      <c r="H49">
        <v>1560</v>
      </c>
      <c r="I49" s="32" t="str">
        <f>VLOOKUP(TableTemp[[#This Row],[Company ID]],MCompany[],2,FALSE)</f>
        <v>Urban Right</v>
      </c>
      <c r="J49" s="32" t="str">
        <f>VLOOKUP(TableTemp[[#This Row],[Customer code]],MCustomer[],2,FALSE)</f>
        <v>Erma</v>
      </c>
      <c r="K49" s="32" t="str">
        <f>VLOOKUP(TableTemp[[#This Row],[Article code]],MArticle[],2,FALSE)</f>
        <v>Women type T simple black</v>
      </c>
      <c r="L49" s="32" t="str">
        <f>VLOOKUP(TableTemp[[#This Row],[Company ID]],MCompany[],3,FALSE)</f>
        <v>USD</v>
      </c>
      <c r="M49" s="32">
        <f>IF(TableTemp[[#This Row],[Currency]]="EUR",ROUND(VLOOKUP(MONTH(TableTemp[[#This Row],[Document Date]]),MExchange[],2,FALSE)*TableTemp[[#This Row],[Sales Local Currency]],2),ROUND(TableTemp[[#This Row],[Sales Local Currency]],2))</f>
        <v>1560</v>
      </c>
    </row>
    <row r="50" spans="1:13" x14ac:dyDescent="0.2">
      <c r="A50" t="s">
        <v>28</v>
      </c>
      <c r="B50">
        <v>66016</v>
      </c>
      <c r="C50" s="9">
        <v>43387</v>
      </c>
      <c r="D50">
        <v>8020</v>
      </c>
      <c r="E50">
        <v>105</v>
      </c>
      <c r="G50">
        <v>120</v>
      </c>
      <c r="H50">
        <v>1200</v>
      </c>
      <c r="I50" s="32" t="str">
        <f>VLOOKUP(TableTemp[[#This Row],[Company ID]],MCompany[],2,FALSE)</f>
        <v>Urban Right</v>
      </c>
      <c r="J50" s="32" t="str">
        <f>VLOOKUP(TableTemp[[#This Row],[Customer code]],MCustomer[],2,FALSE)</f>
        <v>Erma</v>
      </c>
      <c r="K50" s="32" t="str">
        <f>VLOOKUP(TableTemp[[#This Row],[Article code]],MArticle[],2,FALSE)</f>
        <v>Women crop top black</v>
      </c>
      <c r="L50" s="32" t="str">
        <f>VLOOKUP(TableTemp[[#This Row],[Company ID]],MCompany[],3,FALSE)</f>
        <v>USD</v>
      </c>
      <c r="M50" s="32">
        <f>IF(TableTemp[[#This Row],[Currency]]="EUR",ROUND(VLOOKUP(MONTH(TableTemp[[#This Row],[Document Date]]),MExchange[],2,FALSE)*TableTemp[[#This Row],[Sales Local Currency]],2),ROUND(TableTemp[[#This Row],[Sales Local Currency]],2))</f>
        <v>1200</v>
      </c>
    </row>
    <row r="51" spans="1:13" x14ac:dyDescent="0.2">
      <c r="A51" t="s">
        <v>28</v>
      </c>
      <c r="B51">
        <v>68097</v>
      </c>
      <c r="C51" s="9">
        <v>43390</v>
      </c>
      <c r="D51">
        <v>8010</v>
      </c>
      <c r="E51">
        <v>104</v>
      </c>
      <c r="G51">
        <v>140</v>
      </c>
      <c r="H51">
        <v>1680</v>
      </c>
      <c r="I51" s="32" t="str">
        <f>VLOOKUP(TableTemp[[#This Row],[Company ID]],MCompany[],2,FALSE)</f>
        <v>Urban Right</v>
      </c>
      <c r="J51" s="32" t="str">
        <f>VLOOKUP(TableTemp[[#This Row],[Customer code]],MCustomer[],2,FALSE)</f>
        <v>Dellicia</v>
      </c>
      <c r="K51" s="32" t="str">
        <f>VLOOKUP(TableTemp[[#This Row],[Article code]],MArticle[],2,FALSE)</f>
        <v>Women type T simple black</v>
      </c>
      <c r="L51" s="32" t="str">
        <f>VLOOKUP(TableTemp[[#This Row],[Company ID]],MCompany[],3,FALSE)</f>
        <v>USD</v>
      </c>
      <c r="M51" s="32">
        <f>IF(TableTemp[[#This Row],[Currency]]="EUR",ROUND(VLOOKUP(MONTH(TableTemp[[#This Row],[Document Date]]),MExchange[],2,FALSE)*TableTemp[[#This Row],[Sales Local Currency]],2),ROUND(TableTemp[[#This Row],[Sales Local Currency]],2))</f>
        <v>1680</v>
      </c>
    </row>
    <row r="52" spans="1:13" x14ac:dyDescent="0.2">
      <c r="A52" t="s">
        <v>28</v>
      </c>
      <c r="B52">
        <v>68097</v>
      </c>
      <c r="C52" s="9">
        <v>43390</v>
      </c>
      <c r="D52">
        <v>8010</v>
      </c>
      <c r="E52">
        <v>105</v>
      </c>
      <c r="G52">
        <v>130</v>
      </c>
      <c r="H52">
        <v>1300</v>
      </c>
      <c r="I52" s="32" t="str">
        <f>VLOOKUP(TableTemp[[#This Row],[Company ID]],MCompany[],2,FALSE)</f>
        <v>Urban Right</v>
      </c>
      <c r="J52" s="32" t="str">
        <f>VLOOKUP(TableTemp[[#This Row],[Customer code]],MCustomer[],2,FALSE)</f>
        <v>Dellicia</v>
      </c>
      <c r="K52" s="32" t="str">
        <f>VLOOKUP(TableTemp[[#This Row],[Article code]],MArticle[],2,FALSE)</f>
        <v>Women crop top black</v>
      </c>
      <c r="L52" s="32" t="str">
        <f>VLOOKUP(TableTemp[[#This Row],[Company ID]],MCompany[],3,FALSE)</f>
        <v>USD</v>
      </c>
      <c r="M52" s="32">
        <f>IF(TableTemp[[#This Row],[Currency]]="EUR",ROUND(VLOOKUP(MONTH(TableTemp[[#This Row],[Document Date]]),MExchange[],2,FALSE)*TableTemp[[#This Row],[Sales Local Currency]],2),ROUND(TableTemp[[#This Row],[Sales Local Currency]],2))</f>
        <v>1300</v>
      </c>
    </row>
    <row r="53" spans="1:13" x14ac:dyDescent="0.2">
      <c r="A53" t="s">
        <v>28</v>
      </c>
      <c r="B53">
        <v>68099</v>
      </c>
      <c r="C53" s="9">
        <v>43390</v>
      </c>
      <c r="D53">
        <v>8020</v>
      </c>
      <c r="E53">
        <v>104</v>
      </c>
      <c r="G53">
        <v>120</v>
      </c>
      <c r="H53">
        <v>1440</v>
      </c>
      <c r="I53" s="32" t="str">
        <f>VLOOKUP(TableTemp[[#This Row],[Company ID]],MCompany[],2,FALSE)</f>
        <v>Urban Right</v>
      </c>
      <c r="J53" s="32" t="str">
        <f>VLOOKUP(TableTemp[[#This Row],[Customer code]],MCustomer[],2,FALSE)</f>
        <v>Erma</v>
      </c>
      <c r="K53" s="32" t="str">
        <f>VLOOKUP(TableTemp[[#This Row],[Article code]],MArticle[],2,FALSE)</f>
        <v>Women type T simple black</v>
      </c>
      <c r="L53" s="32" t="str">
        <f>VLOOKUP(TableTemp[[#This Row],[Company ID]],MCompany[],3,FALSE)</f>
        <v>USD</v>
      </c>
      <c r="M53" s="32">
        <f>IF(TableTemp[[#This Row],[Currency]]="EUR",ROUND(VLOOKUP(MONTH(TableTemp[[#This Row],[Document Date]]),MExchange[],2,FALSE)*TableTemp[[#This Row],[Sales Local Currency]],2),ROUND(TableTemp[[#This Row],[Sales Local Currency]],2))</f>
        <v>1440</v>
      </c>
    </row>
    <row r="54" spans="1:13" x14ac:dyDescent="0.2">
      <c r="A54" t="s">
        <v>28</v>
      </c>
      <c r="B54">
        <v>68099</v>
      </c>
      <c r="C54" s="9">
        <v>43390</v>
      </c>
      <c r="D54">
        <v>8020</v>
      </c>
      <c r="E54">
        <v>105</v>
      </c>
      <c r="F54">
        <v>2</v>
      </c>
      <c r="G54">
        <v>140</v>
      </c>
      <c r="H54">
        <v>1400</v>
      </c>
      <c r="I54" s="32" t="str">
        <f>VLOOKUP(TableTemp[[#This Row],[Company ID]],MCompany[],2,FALSE)</f>
        <v>Urban Right</v>
      </c>
      <c r="J54" s="32" t="str">
        <f>VLOOKUP(TableTemp[[#This Row],[Customer code]],MCustomer[],2,FALSE)</f>
        <v>Erma</v>
      </c>
      <c r="K54" s="32" t="str">
        <f>VLOOKUP(TableTemp[[#This Row],[Article code]],MArticle[],2,FALSE)</f>
        <v>Women crop top black</v>
      </c>
      <c r="L54" s="32" t="str">
        <f>VLOOKUP(TableTemp[[#This Row],[Company ID]],MCompany[],3,FALSE)</f>
        <v>USD</v>
      </c>
      <c r="M54" s="32">
        <f>IF(TableTemp[[#This Row],[Currency]]="EUR",ROUND(VLOOKUP(MONTH(TableTemp[[#This Row],[Document Date]]),MExchange[],2,FALSE)*TableTemp[[#This Row],[Sales Local Currency]],2),ROUND(TableTemp[[#This Row],[Sales Local Currency]],2))</f>
        <v>1400</v>
      </c>
    </row>
    <row r="55" spans="1:13" x14ac:dyDescent="0.2">
      <c r="A55" t="s">
        <v>28</v>
      </c>
      <c r="B55">
        <v>68099</v>
      </c>
      <c r="C55" s="9">
        <v>43390</v>
      </c>
      <c r="D55">
        <v>8020</v>
      </c>
      <c r="E55">
        <v>107</v>
      </c>
      <c r="G55">
        <v>170</v>
      </c>
      <c r="H55">
        <v>850</v>
      </c>
      <c r="I55" s="32" t="str">
        <f>VLOOKUP(TableTemp[[#This Row],[Company ID]],MCompany[],2,FALSE)</f>
        <v>Urban Right</v>
      </c>
      <c r="J55" s="32" t="str">
        <f>VLOOKUP(TableTemp[[#This Row],[Customer code]],MCustomer[],2,FALSE)</f>
        <v>Erma</v>
      </c>
      <c r="K55" s="32" t="str">
        <f>VLOOKUP(TableTemp[[#This Row],[Article code]],MArticle[],2,FALSE)</f>
        <v>Women basics</v>
      </c>
      <c r="L55" s="32" t="str">
        <f>VLOOKUP(TableTemp[[#This Row],[Company ID]],MCompany[],3,FALSE)</f>
        <v>USD</v>
      </c>
      <c r="M55" s="32">
        <f>IF(TableTemp[[#This Row],[Currency]]="EUR",ROUND(VLOOKUP(MONTH(TableTemp[[#This Row],[Document Date]]),MExchange[],2,FALSE)*TableTemp[[#This Row],[Sales Local Currency]],2),ROUND(TableTemp[[#This Row],[Sales Local Currency]],2))</f>
        <v>850</v>
      </c>
    </row>
    <row r="56" spans="1:13" x14ac:dyDescent="0.2">
      <c r="A56" t="s">
        <v>28</v>
      </c>
      <c r="B56">
        <v>68101</v>
      </c>
      <c r="C56" s="9">
        <v>43390</v>
      </c>
      <c r="D56">
        <v>8010</v>
      </c>
      <c r="E56">
        <v>104</v>
      </c>
      <c r="G56">
        <v>190</v>
      </c>
      <c r="H56">
        <v>2280</v>
      </c>
      <c r="I56" s="32" t="str">
        <f>VLOOKUP(TableTemp[[#This Row],[Company ID]],MCompany[],2,FALSE)</f>
        <v>Urban Right</v>
      </c>
      <c r="J56" s="32" t="str">
        <f>VLOOKUP(TableTemp[[#This Row],[Customer code]],MCustomer[],2,FALSE)</f>
        <v>Dellicia</v>
      </c>
      <c r="K56" s="32" t="str">
        <f>VLOOKUP(TableTemp[[#This Row],[Article code]],MArticle[],2,FALSE)</f>
        <v>Women type T simple black</v>
      </c>
      <c r="L56" s="32" t="str">
        <f>VLOOKUP(TableTemp[[#This Row],[Company ID]],MCompany[],3,FALSE)</f>
        <v>USD</v>
      </c>
      <c r="M56" s="32">
        <f>IF(TableTemp[[#This Row],[Currency]]="EUR",ROUND(VLOOKUP(MONTH(TableTemp[[#This Row],[Document Date]]),MExchange[],2,FALSE)*TableTemp[[#This Row],[Sales Local Currency]],2),ROUND(TableTemp[[#This Row],[Sales Local Currency]],2))</f>
        <v>2280</v>
      </c>
    </row>
    <row r="57" spans="1:13" x14ac:dyDescent="0.2">
      <c r="A57" t="s">
        <v>28</v>
      </c>
      <c r="B57">
        <v>68101</v>
      </c>
      <c r="C57" s="9">
        <v>43390</v>
      </c>
      <c r="D57">
        <v>8010</v>
      </c>
      <c r="E57">
        <v>105</v>
      </c>
      <c r="G57">
        <v>140</v>
      </c>
      <c r="H57">
        <v>1400</v>
      </c>
      <c r="I57" s="32" t="str">
        <f>VLOOKUP(TableTemp[[#This Row],[Company ID]],MCompany[],2,FALSE)</f>
        <v>Urban Right</v>
      </c>
      <c r="J57" s="32" t="str">
        <f>VLOOKUP(TableTemp[[#This Row],[Customer code]],MCustomer[],2,FALSE)</f>
        <v>Dellicia</v>
      </c>
      <c r="K57" s="32" t="str">
        <f>VLOOKUP(TableTemp[[#This Row],[Article code]],MArticle[],2,FALSE)</f>
        <v>Women crop top black</v>
      </c>
      <c r="L57" s="32" t="str">
        <f>VLOOKUP(TableTemp[[#This Row],[Company ID]],MCompany[],3,FALSE)</f>
        <v>USD</v>
      </c>
      <c r="M57" s="32">
        <f>IF(TableTemp[[#This Row],[Currency]]="EUR",ROUND(VLOOKUP(MONTH(TableTemp[[#This Row],[Document Date]]),MExchange[],2,FALSE)*TableTemp[[#This Row],[Sales Local Currency]],2),ROUND(TableTemp[[#This Row],[Sales Local Currency]],2))</f>
        <v>1400</v>
      </c>
    </row>
    <row r="58" spans="1:13" x14ac:dyDescent="0.2">
      <c r="A58" t="s">
        <v>28</v>
      </c>
      <c r="B58">
        <v>65627</v>
      </c>
      <c r="C58" s="9">
        <v>43394</v>
      </c>
      <c r="D58">
        <v>8020</v>
      </c>
      <c r="E58">
        <v>103</v>
      </c>
      <c r="G58">
        <v>140</v>
      </c>
      <c r="H58">
        <v>1680</v>
      </c>
      <c r="I58" s="32" t="str">
        <f>VLOOKUP(TableTemp[[#This Row],[Company ID]],MCompany[],2,FALSE)</f>
        <v>Urban Right</v>
      </c>
      <c r="J58" s="32" t="str">
        <f>VLOOKUP(TableTemp[[#This Row],[Customer code]],MCustomer[],2,FALSE)</f>
        <v>Erma</v>
      </c>
      <c r="K58" s="32" t="str">
        <f>VLOOKUP(TableTemp[[#This Row],[Article code]],MArticle[],2,FALSE)</f>
        <v>Women type T simple white</v>
      </c>
      <c r="L58" s="32" t="str">
        <f>VLOOKUP(TableTemp[[#This Row],[Company ID]],MCompany[],3,FALSE)</f>
        <v>USD</v>
      </c>
      <c r="M58" s="32">
        <f>IF(TableTemp[[#This Row],[Currency]]="EUR",ROUND(VLOOKUP(MONTH(TableTemp[[#This Row],[Document Date]]),MExchange[],2,FALSE)*TableTemp[[#This Row],[Sales Local Currency]],2),ROUND(TableTemp[[#This Row],[Sales Local Currency]],2))</f>
        <v>1680</v>
      </c>
    </row>
    <row r="59" spans="1:13" x14ac:dyDescent="0.2">
      <c r="A59" t="s">
        <v>28</v>
      </c>
      <c r="B59">
        <v>65627</v>
      </c>
      <c r="C59" s="9">
        <v>43394</v>
      </c>
      <c r="D59">
        <v>8020</v>
      </c>
      <c r="E59">
        <v>104</v>
      </c>
      <c r="F59">
        <v>3</v>
      </c>
      <c r="G59">
        <v>160</v>
      </c>
      <c r="H59">
        <v>1920</v>
      </c>
      <c r="I59" s="32" t="str">
        <f>VLOOKUP(TableTemp[[#This Row],[Company ID]],MCompany[],2,FALSE)</f>
        <v>Urban Right</v>
      </c>
      <c r="J59" s="32" t="str">
        <f>VLOOKUP(TableTemp[[#This Row],[Customer code]],MCustomer[],2,FALSE)</f>
        <v>Erma</v>
      </c>
      <c r="K59" s="32" t="str">
        <f>VLOOKUP(TableTemp[[#This Row],[Article code]],MArticle[],2,FALSE)</f>
        <v>Women type T simple black</v>
      </c>
      <c r="L59" s="32" t="str">
        <f>VLOOKUP(TableTemp[[#This Row],[Company ID]],MCompany[],3,FALSE)</f>
        <v>USD</v>
      </c>
      <c r="M59" s="32">
        <f>IF(TableTemp[[#This Row],[Currency]]="EUR",ROUND(VLOOKUP(MONTH(TableTemp[[#This Row],[Document Date]]),MExchange[],2,FALSE)*TableTemp[[#This Row],[Sales Local Currency]],2),ROUND(TableTemp[[#This Row],[Sales Local Currency]],2))</f>
        <v>1920</v>
      </c>
    </row>
    <row r="60" spans="1:13" x14ac:dyDescent="0.2">
      <c r="A60" t="s">
        <v>28</v>
      </c>
      <c r="B60">
        <v>65629</v>
      </c>
      <c r="C60" s="9">
        <v>43394</v>
      </c>
      <c r="D60">
        <v>8010</v>
      </c>
      <c r="E60">
        <v>103</v>
      </c>
      <c r="G60">
        <v>190</v>
      </c>
      <c r="H60">
        <v>2280</v>
      </c>
      <c r="I60" s="32" t="str">
        <f>VLOOKUP(TableTemp[[#This Row],[Company ID]],MCompany[],2,FALSE)</f>
        <v>Urban Right</v>
      </c>
      <c r="J60" s="32" t="str">
        <f>VLOOKUP(TableTemp[[#This Row],[Customer code]],MCustomer[],2,FALSE)</f>
        <v>Dellicia</v>
      </c>
      <c r="K60" s="32" t="str">
        <f>VLOOKUP(TableTemp[[#This Row],[Article code]],MArticle[],2,FALSE)</f>
        <v>Women type T simple white</v>
      </c>
      <c r="L60" s="32" t="str">
        <f>VLOOKUP(TableTemp[[#This Row],[Company ID]],MCompany[],3,FALSE)</f>
        <v>USD</v>
      </c>
      <c r="M60" s="32">
        <f>IF(TableTemp[[#This Row],[Currency]]="EUR",ROUND(VLOOKUP(MONTH(TableTemp[[#This Row],[Document Date]]),MExchange[],2,FALSE)*TableTemp[[#This Row],[Sales Local Currency]],2),ROUND(TableTemp[[#This Row],[Sales Local Currency]],2))</f>
        <v>2280</v>
      </c>
    </row>
    <row r="61" spans="1:13" x14ac:dyDescent="0.2">
      <c r="A61" t="s">
        <v>28</v>
      </c>
      <c r="B61">
        <v>65629</v>
      </c>
      <c r="C61" s="9">
        <v>43394</v>
      </c>
      <c r="D61">
        <v>8010</v>
      </c>
      <c r="E61">
        <v>104</v>
      </c>
      <c r="G61">
        <v>130</v>
      </c>
      <c r="H61">
        <v>1560</v>
      </c>
      <c r="I61" s="32" t="str">
        <f>VLOOKUP(TableTemp[[#This Row],[Company ID]],MCompany[],2,FALSE)</f>
        <v>Urban Right</v>
      </c>
      <c r="J61" s="32" t="str">
        <f>VLOOKUP(TableTemp[[#This Row],[Customer code]],MCustomer[],2,FALSE)</f>
        <v>Dellicia</v>
      </c>
      <c r="K61" s="32" t="str">
        <f>VLOOKUP(TableTemp[[#This Row],[Article code]],MArticle[],2,FALSE)</f>
        <v>Women type T simple black</v>
      </c>
      <c r="L61" s="32" t="str">
        <f>VLOOKUP(TableTemp[[#This Row],[Company ID]],MCompany[],3,FALSE)</f>
        <v>USD</v>
      </c>
      <c r="M61" s="32">
        <f>IF(TableTemp[[#This Row],[Currency]]="EUR",ROUND(VLOOKUP(MONTH(TableTemp[[#This Row],[Document Date]]),MExchange[],2,FALSE)*TableTemp[[#This Row],[Sales Local Currency]],2),ROUND(TableTemp[[#This Row],[Sales Local Currency]],2))</f>
        <v>1560</v>
      </c>
    </row>
    <row r="62" spans="1:13" x14ac:dyDescent="0.2">
      <c r="A62" t="s">
        <v>28</v>
      </c>
      <c r="B62">
        <v>65629</v>
      </c>
      <c r="C62" s="9">
        <v>43394</v>
      </c>
      <c r="D62">
        <v>8010</v>
      </c>
      <c r="E62">
        <v>105</v>
      </c>
      <c r="G62">
        <v>140</v>
      </c>
      <c r="H62">
        <v>1400</v>
      </c>
      <c r="I62" s="32" t="str">
        <f>VLOOKUP(TableTemp[[#This Row],[Company ID]],MCompany[],2,FALSE)</f>
        <v>Urban Right</v>
      </c>
      <c r="J62" s="32" t="str">
        <f>VLOOKUP(TableTemp[[#This Row],[Customer code]],MCustomer[],2,FALSE)</f>
        <v>Dellicia</v>
      </c>
      <c r="K62" s="32" t="str">
        <f>VLOOKUP(TableTemp[[#This Row],[Article code]],MArticle[],2,FALSE)</f>
        <v>Women crop top black</v>
      </c>
      <c r="L62" s="32" t="str">
        <f>VLOOKUP(TableTemp[[#This Row],[Company ID]],MCompany[],3,FALSE)</f>
        <v>USD</v>
      </c>
      <c r="M62" s="32">
        <f>IF(TableTemp[[#This Row],[Currency]]="EUR",ROUND(VLOOKUP(MONTH(TableTemp[[#This Row],[Document Date]]),MExchange[],2,FALSE)*TableTemp[[#This Row],[Sales Local Currency]],2),ROUND(TableTemp[[#This Row],[Sales Local Currency]],2))</f>
        <v>1400</v>
      </c>
    </row>
    <row r="63" spans="1:13" x14ac:dyDescent="0.2">
      <c r="A63" t="s">
        <v>28</v>
      </c>
      <c r="B63">
        <v>65631</v>
      </c>
      <c r="C63" s="9">
        <v>43394</v>
      </c>
      <c r="D63">
        <v>8020</v>
      </c>
      <c r="E63">
        <v>107</v>
      </c>
      <c r="G63">
        <v>190</v>
      </c>
      <c r="H63">
        <v>950</v>
      </c>
      <c r="I63" s="32" t="str">
        <f>VLOOKUP(TableTemp[[#This Row],[Company ID]],MCompany[],2,FALSE)</f>
        <v>Urban Right</v>
      </c>
      <c r="J63" s="32" t="str">
        <f>VLOOKUP(TableTemp[[#This Row],[Customer code]],MCustomer[],2,FALSE)</f>
        <v>Erma</v>
      </c>
      <c r="K63" s="32" t="str">
        <f>VLOOKUP(TableTemp[[#This Row],[Article code]],MArticle[],2,FALSE)</f>
        <v>Women basics</v>
      </c>
      <c r="L63" s="32" t="str">
        <f>VLOOKUP(TableTemp[[#This Row],[Company ID]],MCompany[],3,FALSE)</f>
        <v>USD</v>
      </c>
      <c r="M63" s="32">
        <f>IF(TableTemp[[#This Row],[Currency]]="EUR",ROUND(VLOOKUP(MONTH(TableTemp[[#This Row],[Document Date]]),MExchange[],2,FALSE)*TableTemp[[#This Row],[Sales Local Currency]],2),ROUND(TableTemp[[#This Row],[Sales Local Currency]],2))</f>
        <v>950</v>
      </c>
    </row>
    <row r="64" spans="1:13" x14ac:dyDescent="0.2">
      <c r="A64" t="s">
        <v>28</v>
      </c>
      <c r="B64">
        <v>65631</v>
      </c>
      <c r="C64" s="9">
        <v>43394</v>
      </c>
      <c r="D64">
        <v>8020</v>
      </c>
      <c r="E64">
        <v>103</v>
      </c>
      <c r="G64">
        <v>120</v>
      </c>
      <c r="H64">
        <v>1440</v>
      </c>
      <c r="I64" s="32" t="str">
        <f>VLOOKUP(TableTemp[[#This Row],[Company ID]],MCompany[],2,FALSE)</f>
        <v>Urban Right</v>
      </c>
      <c r="J64" s="32" t="str">
        <f>VLOOKUP(TableTemp[[#This Row],[Customer code]],MCustomer[],2,FALSE)</f>
        <v>Erma</v>
      </c>
      <c r="K64" s="32" t="str">
        <f>VLOOKUP(TableTemp[[#This Row],[Article code]],MArticle[],2,FALSE)</f>
        <v>Women type T simple white</v>
      </c>
      <c r="L64" s="32" t="str">
        <f>VLOOKUP(TableTemp[[#This Row],[Company ID]],MCompany[],3,FALSE)</f>
        <v>USD</v>
      </c>
      <c r="M64" s="32">
        <f>IF(TableTemp[[#This Row],[Currency]]="EUR",ROUND(VLOOKUP(MONTH(TableTemp[[#This Row],[Document Date]]),MExchange[],2,FALSE)*TableTemp[[#This Row],[Sales Local Currency]],2),ROUND(TableTemp[[#This Row],[Sales Local Currency]],2))</f>
        <v>1440</v>
      </c>
    </row>
  </sheetData>
  <mergeCells count="4">
    <mergeCell ref="Z1:AB3"/>
    <mergeCell ref="AL1:AN3"/>
    <mergeCell ref="P1:T3"/>
    <mergeCell ref="U1:V3"/>
  </mergeCells>
  <pageMargins left="0.7" right="0.7" top="0.75" bottom="0.75" header="0.3" footer="0.3"/>
  <pageSetup orientation="portrait" horizontalDpi="0" verticalDpi="0" r:id="rId5"/>
  <drawing r:id="rId6"/>
  <tableParts count="1">
    <tablePart r:id="rId7"/>
  </tablePart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F36" sqref="F36"/>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8" spans="1:10" ht="26.25" customHeight="1" x14ac:dyDescent="0.2">
      <c r="B8" s="5" t="s">
        <v>50</v>
      </c>
      <c r="C8" s="6" t="s">
        <v>35</v>
      </c>
      <c r="D8" s="6" t="s">
        <v>3</v>
      </c>
      <c r="E8" s="6" t="s">
        <v>53</v>
      </c>
      <c r="G8" s="6" t="s">
        <v>56</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t="s">
        <v>30</v>
      </c>
      <c r="C11" t="s">
        <v>34</v>
      </c>
      <c r="D11" t="s">
        <v>38</v>
      </c>
      <c r="E11" t="s">
        <v>55</v>
      </c>
    </row>
    <row r="12" spans="1:10" x14ac:dyDescent="0.2">
      <c r="B12" t="s">
        <v>31</v>
      </c>
      <c r="C12" t="s">
        <v>33</v>
      </c>
      <c r="D12" t="s">
        <v>38</v>
      </c>
      <c r="E12" t="s">
        <v>55</v>
      </c>
    </row>
    <row r="14" spans="1:10" x14ac:dyDescent="0.2">
      <c r="A14" s="4" t="s">
        <v>36</v>
      </c>
      <c r="B14" s="4"/>
      <c r="C14" s="4"/>
      <c r="D14" s="4"/>
      <c r="E14" s="4"/>
      <c r="F14" s="4"/>
      <c r="G14" s="4"/>
      <c r="H14" s="4"/>
      <c r="I14" s="4"/>
      <c r="J14" s="4"/>
    </row>
    <row r="16" spans="1:10" ht="15" x14ac:dyDescent="0.2">
      <c r="B16" s="5" t="s">
        <v>49</v>
      </c>
      <c r="C16" s="6"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57</v>
      </c>
    </row>
    <row r="21" spans="1:10" x14ac:dyDescent="0.2">
      <c r="B21">
        <v>8050</v>
      </c>
      <c r="C21" t="s">
        <v>58</v>
      </c>
    </row>
    <row r="22" spans="1:10" x14ac:dyDescent="0.2">
      <c r="B22">
        <v>8060</v>
      </c>
      <c r="C22" t="s">
        <v>59</v>
      </c>
    </row>
    <row r="24" spans="1:10" x14ac:dyDescent="0.2">
      <c r="A24" s="4" t="s">
        <v>26</v>
      </c>
      <c r="B24" s="4"/>
      <c r="C24" s="4"/>
      <c r="D24" s="4"/>
      <c r="E24" s="4"/>
      <c r="F24" s="4"/>
      <c r="G24" s="4"/>
      <c r="H24" s="4"/>
      <c r="I24" s="4"/>
      <c r="J24" s="4"/>
    </row>
    <row r="26" spans="1:10" ht="15" x14ac:dyDescent="0.2">
      <c r="B26" s="5" t="s">
        <v>52</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60</v>
      </c>
      <c r="B50" s="4"/>
      <c r="C50" s="4"/>
      <c r="D50" s="4"/>
      <c r="E50" s="4"/>
      <c r="F50" s="4"/>
      <c r="G50" s="4"/>
      <c r="H50" s="4"/>
      <c r="I50" s="4"/>
      <c r="J50" s="4"/>
    </row>
    <row r="52" spans="1:10" ht="15" x14ac:dyDescent="0.2">
      <c r="B52" s="5" t="s">
        <v>37</v>
      </c>
      <c r="C52" s="6"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sqref="A1:XFD1048576"/>
    </sheetView>
  </sheetViews>
  <sheetFormatPr defaultRowHeight="12.75" x14ac:dyDescent="0.2"/>
  <cols>
    <col min="2" max="2" width="18" customWidth="1"/>
    <col min="3" max="3" width="15.5703125" customWidth="1"/>
    <col min="4" max="4" width="17.28515625" customWidth="1"/>
    <col min="5" max="5" width="11.140625" customWidth="1"/>
    <col min="6" max="6" width="15.42578125" customWidth="1"/>
    <col min="9" max="9" width="13.28515625" customWidth="1"/>
  </cols>
  <sheetData>
    <row r="2" spans="2:9" x14ac:dyDescent="0.2">
      <c r="B2" t="s">
        <v>39</v>
      </c>
      <c r="C2" t="s">
        <v>28</v>
      </c>
    </row>
    <row r="4" spans="2:9" x14ac:dyDescent="0.2">
      <c r="B4" t="s">
        <v>2</v>
      </c>
      <c r="C4" t="s">
        <v>40</v>
      </c>
      <c r="D4" t="s">
        <v>61</v>
      </c>
      <c r="E4" t="s">
        <v>49</v>
      </c>
      <c r="F4" t="s">
        <v>52</v>
      </c>
      <c r="G4" t="s">
        <v>43</v>
      </c>
      <c r="H4" t="s">
        <v>41</v>
      </c>
      <c r="I4" t="s">
        <v>42</v>
      </c>
    </row>
    <row r="5" spans="2:9" x14ac:dyDescent="0.2">
      <c r="B5">
        <v>66030</v>
      </c>
      <c r="C5" s="9">
        <v>43377</v>
      </c>
      <c r="D5" t="s">
        <v>79</v>
      </c>
      <c r="E5">
        <v>8010</v>
      </c>
      <c r="F5">
        <v>103</v>
      </c>
      <c r="G5" t="s">
        <v>62</v>
      </c>
      <c r="H5">
        <v>120</v>
      </c>
      <c r="I5">
        <v>1440</v>
      </c>
    </row>
    <row r="6" spans="2:9" x14ac:dyDescent="0.2">
      <c r="B6">
        <v>66030</v>
      </c>
      <c r="C6" s="9">
        <v>43377</v>
      </c>
      <c r="D6" t="s">
        <v>80</v>
      </c>
      <c r="E6">
        <v>8010</v>
      </c>
      <c r="F6">
        <v>104</v>
      </c>
      <c r="H6">
        <v>150</v>
      </c>
      <c r="I6">
        <v>1800</v>
      </c>
    </row>
    <row r="7" spans="2:9" x14ac:dyDescent="0.2">
      <c r="B7">
        <v>66032</v>
      </c>
      <c r="C7" s="9">
        <v>43380</v>
      </c>
      <c r="D7" t="s">
        <v>81</v>
      </c>
      <c r="E7">
        <v>8010</v>
      </c>
      <c r="F7">
        <v>103</v>
      </c>
      <c r="H7">
        <v>170</v>
      </c>
      <c r="I7">
        <v>2040</v>
      </c>
    </row>
    <row r="8" spans="2:9" x14ac:dyDescent="0.2">
      <c r="B8">
        <v>66032</v>
      </c>
      <c r="C8" s="9">
        <v>43380</v>
      </c>
      <c r="D8" t="s">
        <v>82</v>
      </c>
      <c r="E8">
        <v>8010</v>
      </c>
      <c r="F8">
        <v>104</v>
      </c>
      <c r="H8">
        <v>140</v>
      </c>
      <c r="I8">
        <v>1680</v>
      </c>
    </row>
    <row r="9" spans="2:9" x14ac:dyDescent="0.2">
      <c r="B9">
        <v>66031</v>
      </c>
      <c r="C9" s="9">
        <v>43381</v>
      </c>
      <c r="D9" t="s">
        <v>83</v>
      </c>
      <c r="E9">
        <v>8020</v>
      </c>
      <c r="F9">
        <v>103</v>
      </c>
      <c r="G9">
        <v>1</v>
      </c>
      <c r="H9">
        <v>140</v>
      </c>
      <c r="I9">
        <v>1680</v>
      </c>
    </row>
    <row r="10" spans="2:9" x14ac:dyDescent="0.2">
      <c r="B10">
        <v>66031</v>
      </c>
      <c r="C10" s="9">
        <v>43381</v>
      </c>
      <c r="D10" t="s">
        <v>84</v>
      </c>
      <c r="E10">
        <v>8020</v>
      </c>
      <c r="F10">
        <v>104</v>
      </c>
      <c r="H10">
        <v>150</v>
      </c>
      <c r="I10">
        <v>1800</v>
      </c>
    </row>
    <row r="11" spans="2:9" x14ac:dyDescent="0.2">
      <c r="B11">
        <v>66031</v>
      </c>
      <c r="C11" s="9">
        <v>43381</v>
      </c>
      <c r="D11" t="s">
        <v>85</v>
      </c>
      <c r="E11">
        <v>8020</v>
      </c>
      <c r="F11">
        <v>105</v>
      </c>
      <c r="H11">
        <v>100</v>
      </c>
      <c r="I11">
        <v>1000</v>
      </c>
    </row>
    <row r="12" spans="2:9" x14ac:dyDescent="0.2">
      <c r="B12">
        <v>68112</v>
      </c>
      <c r="C12" s="9">
        <v>43384</v>
      </c>
      <c r="D12" t="s">
        <v>86</v>
      </c>
      <c r="E12">
        <v>8010</v>
      </c>
      <c r="F12">
        <v>104</v>
      </c>
      <c r="G12">
        <v>4</v>
      </c>
      <c r="H12">
        <v>180</v>
      </c>
      <c r="I12">
        <v>2160</v>
      </c>
    </row>
    <row r="13" spans="2:9" x14ac:dyDescent="0.2">
      <c r="B13">
        <v>68112</v>
      </c>
      <c r="C13" s="9">
        <v>43384</v>
      </c>
      <c r="D13" t="s">
        <v>81</v>
      </c>
      <c r="E13">
        <v>8010</v>
      </c>
      <c r="F13">
        <v>105</v>
      </c>
      <c r="H13">
        <v>120</v>
      </c>
      <c r="I13">
        <v>1200</v>
      </c>
    </row>
    <row r="14" spans="2:9" x14ac:dyDescent="0.2">
      <c r="B14">
        <v>68116</v>
      </c>
      <c r="C14" s="9">
        <v>43384</v>
      </c>
      <c r="D14" t="s">
        <v>87</v>
      </c>
      <c r="E14">
        <v>8020</v>
      </c>
      <c r="F14">
        <v>104</v>
      </c>
      <c r="H14">
        <v>150</v>
      </c>
      <c r="I14">
        <v>1800</v>
      </c>
    </row>
    <row r="15" spans="2:9" x14ac:dyDescent="0.2">
      <c r="B15">
        <v>68116</v>
      </c>
      <c r="C15" s="9">
        <v>43384</v>
      </c>
      <c r="D15" t="s">
        <v>86</v>
      </c>
      <c r="E15">
        <v>8020</v>
      </c>
      <c r="F15">
        <v>105</v>
      </c>
      <c r="H15">
        <v>190</v>
      </c>
      <c r="I15">
        <v>1900</v>
      </c>
    </row>
    <row r="16" spans="2:9" x14ac:dyDescent="0.2">
      <c r="B16">
        <v>68116</v>
      </c>
      <c r="C16" s="9">
        <v>43384</v>
      </c>
      <c r="D16" t="s">
        <v>83</v>
      </c>
      <c r="E16">
        <v>8020</v>
      </c>
      <c r="F16">
        <v>107</v>
      </c>
      <c r="G16">
        <v>2</v>
      </c>
      <c r="H16">
        <v>160</v>
      </c>
      <c r="I16">
        <v>800</v>
      </c>
    </row>
    <row r="17" spans="1:9" x14ac:dyDescent="0.2">
      <c r="B17">
        <v>68116</v>
      </c>
      <c r="C17" s="9">
        <v>43384</v>
      </c>
      <c r="D17" t="s">
        <v>83</v>
      </c>
      <c r="E17">
        <v>8010</v>
      </c>
      <c r="F17">
        <v>104</v>
      </c>
      <c r="H17">
        <v>160</v>
      </c>
      <c r="I17">
        <v>1920</v>
      </c>
    </row>
    <row r="18" spans="1:9" x14ac:dyDescent="0.2">
      <c r="B18">
        <v>68116</v>
      </c>
      <c r="C18" s="9">
        <v>43384</v>
      </c>
      <c r="D18" t="s">
        <v>79</v>
      </c>
      <c r="E18">
        <v>8010</v>
      </c>
      <c r="F18">
        <v>105</v>
      </c>
      <c r="H18">
        <v>190</v>
      </c>
      <c r="I18">
        <v>1900</v>
      </c>
    </row>
    <row r="19" spans="1:9" x14ac:dyDescent="0.2">
      <c r="B19">
        <v>65662</v>
      </c>
      <c r="C19" s="9">
        <v>43388</v>
      </c>
      <c r="D19" t="s">
        <v>82</v>
      </c>
      <c r="E19">
        <v>8020</v>
      </c>
      <c r="F19">
        <v>103</v>
      </c>
      <c r="H19">
        <v>120</v>
      </c>
      <c r="I19">
        <v>1440</v>
      </c>
    </row>
    <row r="20" spans="1:9" x14ac:dyDescent="0.2">
      <c r="B20">
        <v>65662</v>
      </c>
      <c r="C20" s="9">
        <v>43388</v>
      </c>
      <c r="D20" t="s">
        <v>85</v>
      </c>
      <c r="E20">
        <v>8020</v>
      </c>
      <c r="F20">
        <v>104</v>
      </c>
      <c r="H20">
        <v>110</v>
      </c>
      <c r="I20">
        <v>1320</v>
      </c>
    </row>
    <row r="21" spans="1:9" x14ac:dyDescent="0.2">
      <c r="B21">
        <v>65666</v>
      </c>
      <c r="C21" s="9">
        <v>43388</v>
      </c>
      <c r="D21" t="s">
        <v>82</v>
      </c>
      <c r="E21">
        <v>8010</v>
      </c>
      <c r="F21">
        <v>103</v>
      </c>
      <c r="H21">
        <v>120</v>
      </c>
      <c r="I21">
        <v>1440</v>
      </c>
    </row>
    <row r="22" spans="1:9" x14ac:dyDescent="0.2">
      <c r="B22">
        <v>65666</v>
      </c>
      <c r="C22" s="9">
        <v>43388</v>
      </c>
      <c r="D22" t="s">
        <v>81</v>
      </c>
      <c r="E22">
        <v>8010</v>
      </c>
      <c r="F22">
        <v>104</v>
      </c>
      <c r="H22">
        <v>140</v>
      </c>
      <c r="I22">
        <v>1680</v>
      </c>
    </row>
    <row r="23" spans="1:9" x14ac:dyDescent="0.2">
      <c r="B23">
        <v>65666</v>
      </c>
      <c r="C23" s="9">
        <v>43388</v>
      </c>
      <c r="D23" t="s">
        <v>80</v>
      </c>
      <c r="E23">
        <v>8010</v>
      </c>
      <c r="F23">
        <v>105</v>
      </c>
      <c r="H23">
        <v>160</v>
      </c>
      <c r="I23">
        <v>1600</v>
      </c>
    </row>
    <row r="24" spans="1:9" x14ac:dyDescent="0.2">
      <c r="B24">
        <v>65666</v>
      </c>
      <c r="C24" s="9">
        <v>43388</v>
      </c>
      <c r="D24" t="s">
        <v>87</v>
      </c>
      <c r="E24">
        <v>8020</v>
      </c>
      <c r="F24">
        <v>107</v>
      </c>
      <c r="H24">
        <v>120</v>
      </c>
      <c r="I24">
        <v>600</v>
      </c>
    </row>
    <row r="25" spans="1:9" x14ac:dyDescent="0.2">
      <c r="B25">
        <v>65666</v>
      </c>
      <c r="C25" s="9">
        <v>43388</v>
      </c>
      <c r="D25" t="s">
        <v>82</v>
      </c>
      <c r="E25">
        <v>8020</v>
      </c>
      <c r="F25">
        <v>103</v>
      </c>
      <c r="H25">
        <v>200</v>
      </c>
      <c r="I25">
        <v>2400</v>
      </c>
    </row>
    <row r="26" spans="1:9" x14ac:dyDescent="0.2">
      <c r="A26" s="9"/>
      <c r="B26">
        <v>66015</v>
      </c>
      <c r="C26" s="9">
        <v>43383</v>
      </c>
      <c r="D26" t="s">
        <v>86</v>
      </c>
      <c r="E26">
        <v>8010</v>
      </c>
      <c r="F26">
        <v>103</v>
      </c>
      <c r="H26">
        <v>140</v>
      </c>
      <c r="I26">
        <v>1680</v>
      </c>
    </row>
    <row r="27" spans="1:9" x14ac:dyDescent="0.2">
      <c r="A27" s="9"/>
      <c r="B27">
        <v>66015</v>
      </c>
      <c r="C27" s="9">
        <v>43383</v>
      </c>
      <c r="D27" t="s">
        <v>79</v>
      </c>
      <c r="E27">
        <v>8010</v>
      </c>
      <c r="F27">
        <v>104</v>
      </c>
      <c r="H27">
        <v>140</v>
      </c>
      <c r="I27">
        <v>1680</v>
      </c>
    </row>
    <row r="28" spans="1:9" x14ac:dyDescent="0.2">
      <c r="A28" s="9"/>
      <c r="B28">
        <v>66017</v>
      </c>
      <c r="C28" s="9">
        <v>43386</v>
      </c>
      <c r="D28" t="s">
        <v>79</v>
      </c>
      <c r="E28">
        <v>8010</v>
      </c>
      <c r="F28">
        <v>103</v>
      </c>
      <c r="H28">
        <v>140</v>
      </c>
      <c r="I28">
        <v>1680</v>
      </c>
    </row>
    <row r="29" spans="1:9" x14ac:dyDescent="0.2">
      <c r="A29" s="9"/>
      <c r="B29">
        <v>66017</v>
      </c>
      <c r="C29" s="9">
        <v>43386</v>
      </c>
      <c r="D29" t="s">
        <v>86</v>
      </c>
      <c r="E29">
        <v>8010</v>
      </c>
      <c r="F29">
        <v>104</v>
      </c>
      <c r="H29">
        <v>140</v>
      </c>
      <c r="I29">
        <v>1680</v>
      </c>
    </row>
    <row r="30" spans="1:9" x14ac:dyDescent="0.2">
      <c r="A30" s="9"/>
      <c r="B30">
        <v>66016</v>
      </c>
      <c r="C30" s="9">
        <v>43387</v>
      </c>
      <c r="D30" t="s">
        <v>88</v>
      </c>
      <c r="E30">
        <v>8020</v>
      </c>
      <c r="F30">
        <v>103</v>
      </c>
      <c r="H30">
        <v>120</v>
      </c>
      <c r="I30">
        <v>1440</v>
      </c>
    </row>
    <row r="31" spans="1:9" x14ac:dyDescent="0.2">
      <c r="A31" s="9"/>
      <c r="B31">
        <v>66016</v>
      </c>
      <c r="C31" s="9">
        <v>43387</v>
      </c>
      <c r="D31" t="s">
        <v>88</v>
      </c>
      <c r="E31">
        <v>8020</v>
      </c>
      <c r="F31">
        <v>104</v>
      </c>
      <c r="H31">
        <v>130</v>
      </c>
      <c r="I31">
        <v>1560</v>
      </c>
    </row>
    <row r="32" spans="1:9" x14ac:dyDescent="0.2">
      <c r="A32" s="9"/>
      <c r="B32">
        <v>66016</v>
      </c>
      <c r="C32" s="9">
        <v>43387</v>
      </c>
      <c r="D32" t="s">
        <v>83</v>
      </c>
      <c r="E32">
        <v>8020</v>
      </c>
      <c r="F32">
        <v>105</v>
      </c>
      <c r="H32">
        <v>120</v>
      </c>
      <c r="I32">
        <v>1200</v>
      </c>
    </row>
    <row r="33" spans="1:9" x14ac:dyDescent="0.2">
      <c r="A33" s="9"/>
      <c r="B33">
        <v>68097</v>
      </c>
      <c r="C33" s="9">
        <v>43390</v>
      </c>
      <c r="D33" t="s">
        <v>85</v>
      </c>
      <c r="E33">
        <v>8010</v>
      </c>
      <c r="F33">
        <v>104</v>
      </c>
      <c r="H33">
        <v>140</v>
      </c>
      <c r="I33">
        <v>1680</v>
      </c>
    </row>
    <row r="34" spans="1:9" x14ac:dyDescent="0.2">
      <c r="A34" s="9"/>
      <c r="B34">
        <v>68097</v>
      </c>
      <c r="C34" s="9">
        <v>43390</v>
      </c>
      <c r="D34" t="s">
        <v>83</v>
      </c>
      <c r="E34">
        <v>8010</v>
      </c>
      <c r="F34">
        <v>105</v>
      </c>
      <c r="H34">
        <v>130</v>
      </c>
      <c r="I34">
        <v>1300</v>
      </c>
    </row>
    <row r="35" spans="1:9" x14ac:dyDescent="0.2">
      <c r="A35" s="9"/>
      <c r="B35">
        <v>68099</v>
      </c>
      <c r="C35" s="9">
        <v>43390</v>
      </c>
      <c r="D35" t="s">
        <v>82</v>
      </c>
      <c r="E35">
        <v>8020</v>
      </c>
      <c r="F35">
        <v>104</v>
      </c>
      <c r="H35">
        <v>120</v>
      </c>
      <c r="I35">
        <v>1440</v>
      </c>
    </row>
    <row r="36" spans="1:9" x14ac:dyDescent="0.2">
      <c r="A36" s="9"/>
      <c r="B36">
        <v>68099</v>
      </c>
      <c r="C36" s="9">
        <v>43390</v>
      </c>
      <c r="D36" t="s">
        <v>83</v>
      </c>
      <c r="E36">
        <v>8020</v>
      </c>
      <c r="F36">
        <v>105</v>
      </c>
      <c r="G36">
        <v>2</v>
      </c>
      <c r="H36">
        <v>140</v>
      </c>
      <c r="I36">
        <v>1400</v>
      </c>
    </row>
    <row r="37" spans="1:9" x14ac:dyDescent="0.2">
      <c r="A37" s="9"/>
      <c r="B37">
        <v>68099</v>
      </c>
      <c r="C37" s="9">
        <v>43390</v>
      </c>
      <c r="D37" t="s">
        <v>85</v>
      </c>
      <c r="E37">
        <v>8020</v>
      </c>
      <c r="F37">
        <v>107</v>
      </c>
      <c r="H37">
        <v>170</v>
      </c>
      <c r="I37">
        <v>850</v>
      </c>
    </row>
    <row r="38" spans="1:9" x14ac:dyDescent="0.2">
      <c r="A38" s="9"/>
      <c r="B38">
        <v>68101</v>
      </c>
      <c r="C38" s="9">
        <v>43390</v>
      </c>
      <c r="D38" t="s">
        <v>88</v>
      </c>
      <c r="E38">
        <v>8010</v>
      </c>
      <c r="F38">
        <v>104</v>
      </c>
      <c r="H38">
        <v>190</v>
      </c>
      <c r="I38">
        <v>2280</v>
      </c>
    </row>
    <row r="39" spans="1:9" x14ac:dyDescent="0.2">
      <c r="A39" s="9"/>
      <c r="B39">
        <v>68101</v>
      </c>
      <c r="C39" s="9">
        <v>43390</v>
      </c>
      <c r="D39" t="s">
        <v>89</v>
      </c>
      <c r="E39">
        <v>8010</v>
      </c>
      <c r="F39">
        <v>105</v>
      </c>
      <c r="H39">
        <v>140</v>
      </c>
      <c r="I39">
        <v>1400</v>
      </c>
    </row>
    <row r="40" spans="1:9" x14ac:dyDescent="0.2">
      <c r="A40" s="9"/>
      <c r="B40">
        <v>65627</v>
      </c>
      <c r="C40" s="9">
        <v>43394</v>
      </c>
      <c r="D40" t="s">
        <v>82</v>
      </c>
      <c r="E40">
        <v>8020</v>
      </c>
      <c r="F40">
        <v>103</v>
      </c>
      <c r="H40">
        <v>140</v>
      </c>
      <c r="I40">
        <v>1680</v>
      </c>
    </row>
    <row r="41" spans="1:9" x14ac:dyDescent="0.2">
      <c r="A41" s="9"/>
      <c r="B41">
        <v>65627</v>
      </c>
      <c r="C41" s="9">
        <v>43394</v>
      </c>
      <c r="D41" t="s">
        <v>89</v>
      </c>
      <c r="E41">
        <v>8020</v>
      </c>
      <c r="F41">
        <v>104</v>
      </c>
      <c r="G41">
        <v>3</v>
      </c>
      <c r="H41">
        <v>160</v>
      </c>
      <c r="I41">
        <v>1920</v>
      </c>
    </row>
    <row r="42" spans="1:9" x14ac:dyDescent="0.2">
      <c r="A42" s="9"/>
      <c r="B42">
        <v>65629</v>
      </c>
      <c r="C42" s="9">
        <v>43394</v>
      </c>
      <c r="D42" t="s">
        <v>83</v>
      </c>
      <c r="E42">
        <v>8010</v>
      </c>
      <c r="F42">
        <v>103</v>
      </c>
      <c r="H42">
        <v>190</v>
      </c>
      <c r="I42">
        <v>2280</v>
      </c>
    </row>
    <row r="43" spans="1:9" x14ac:dyDescent="0.2">
      <c r="A43" s="9"/>
      <c r="B43">
        <v>65629</v>
      </c>
      <c r="C43" s="9">
        <v>43394</v>
      </c>
      <c r="D43" t="s">
        <v>89</v>
      </c>
      <c r="E43">
        <v>8010</v>
      </c>
      <c r="F43">
        <v>104</v>
      </c>
      <c r="H43">
        <v>130</v>
      </c>
      <c r="I43">
        <v>1560</v>
      </c>
    </row>
    <row r="44" spans="1:9" x14ac:dyDescent="0.2">
      <c r="A44" s="9"/>
      <c r="B44">
        <v>65629</v>
      </c>
      <c r="C44" s="9">
        <v>43394</v>
      </c>
      <c r="D44" t="s">
        <v>85</v>
      </c>
      <c r="E44">
        <v>8010</v>
      </c>
      <c r="F44">
        <v>105</v>
      </c>
      <c r="H44">
        <v>140</v>
      </c>
      <c r="I44">
        <v>1400</v>
      </c>
    </row>
    <row r="45" spans="1:9" x14ac:dyDescent="0.2">
      <c r="A45" s="9"/>
      <c r="B45">
        <v>65631</v>
      </c>
      <c r="C45" s="9">
        <v>43394</v>
      </c>
      <c r="D45" t="s">
        <v>79</v>
      </c>
      <c r="E45">
        <v>8020</v>
      </c>
      <c r="F45">
        <v>107</v>
      </c>
      <c r="H45">
        <v>190</v>
      </c>
      <c r="I45">
        <v>950</v>
      </c>
    </row>
    <row r="46" spans="1:9" x14ac:dyDescent="0.2">
      <c r="A46" s="9"/>
      <c r="B46">
        <v>65631</v>
      </c>
      <c r="C46" s="9">
        <v>43394</v>
      </c>
      <c r="D46" t="s">
        <v>84</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Main Menu</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TD</cp:lastModifiedBy>
  <dcterms:created xsi:type="dcterms:W3CDTF">2017-10-02T07:41:32Z</dcterms:created>
  <dcterms:modified xsi:type="dcterms:W3CDTF">2023-07-22T03:04:20Z</dcterms:modified>
</cp:coreProperties>
</file>